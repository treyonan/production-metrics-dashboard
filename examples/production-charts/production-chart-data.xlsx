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lese-my.sharepoint.com/personal/mvanhooser_dolese_com/Documents/Plants/Big Canyon/"/>
    </mc:Choice>
  </mc:AlternateContent>
  <xr:revisionPtr revIDLastSave="1274" documentId="8_{7991D266-F71C-49F5-8403-5CF97AA6FC8A}" xr6:coauthVersionLast="47" xr6:coauthVersionMax="47" xr10:uidLastSave="{A6765635-6311-4D41-B248-B588A64D325C}"/>
  <bookViews>
    <workbookView xWindow="28680" yWindow="-120" windowWidth="29040" windowHeight="15720" xr2:uid="{6F27A8C5-259C-4970-8A72-DBDABAB6A768}"/>
  </bookViews>
  <sheets>
    <sheet name="Primary Piviot" sheetId="2" r:id="rId1"/>
    <sheet name="Washplant Raw Data" sheetId="6" r:id="rId2"/>
    <sheet name="Plant Raw Data" sheetId="3" r:id="rId3"/>
    <sheet name="Prod Schedule" sheetId="4" r:id="rId4"/>
  </sheet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C3" i="6"/>
  <c r="B3" i="6"/>
  <c r="L70" i="6"/>
  <c r="H70" i="6"/>
  <c r="K69" i="6"/>
  <c r="L69" i="6" s="1"/>
  <c r="H69" i="6"/>
  <c r="K68" i="6"/>
  <c r="L68" i="6" s="1"/>
  <c r="H68" i="6"/>
  <c r="K67" i="6"/>
  <c r="L67" i="6" s="1"/>
  <c r="H67" i="6"/>
  <c r="K66" i="6"/>
  <c r="L66" i="6" s="1"/>
  <c r="H66" i="6"/>
  <c r="K65" i="6"/>
  <c r="L65" i="6" s="1"/>
  <c r="H65" i="6"/>
  <c r="L64" i="6"/>
  <c r="H64" i="6"/>
  <c r="K63" i="6"/>
  <c r="L63" i="6" s="1"/>
  <c r="H63" i="6"/>
  <c r="K62" i="6"/>
  <c r="L62" i="6" s="1"/>
  <c r="H62" i="6"/>
  <c r="K61" i="6"/>
  <c r="L61" i="6" s="1"/>
  <c r="H61" i="6"/>
  <c r="K60" i="6"/>
  <c r="L60" i="6" s="1"/>
  <c r="H60" i="6"/>
  <c r="K59" i="6"/>
  <c r="L59" i="6" s="1"/>
  <c r="H59" i="6"/>
  <c r="K58" i="6"/>
  <c r="L58" i="6" s="1"/>
  <c r="H58" i="6"/>
  <c r="L57" i="6"/>
  <c r="K57" i="6"/>
  <c r="H57" i="6"/>
  <c r="K56" i="6"/>
  <c r="L56" i="6" s="1"/>
  <c r="H56" i="6"/>
  <c r="K55" i="6"/>
  <c r="L55" i="6" s="1"/>
  <c r="H55" i="6"/>
  <c r="K54" i="6"/>
  <c r="L54" i="6" s="1"/>
  <c r="H54" i="6"/>
  <c r="K53" i="6"/>
  <c r="L53" i="6" s="1"/>
  <c r="H53" i="6"/>
  <c r="K52" i="6"/>
  <c r="L52" i="6" s="1"/>
  <c r="H52" i="6"/>
  <c r="K51" i="6"/>
  <c r="L51" i="6" s="1"/>
  <c r="H51" i="6"/>
  <c r="L50" i="6"/>
  <c r="K50" i="6"/>
  <c r="H50" i="6"/>
  <c r="L49" i="6"/>
  <c r="K49" i="6"/>
  <c r="H49" i="6"/>
  <c r="K48" i="6"/>
  <c r="L48" i="6" s="1"/>
  <c r="H48" i="6"/>
  <c r="L47" i="6"/>
  <c r="H47" i="6"/>
  <c r="L46" i="6"/>
  <c r="H46" i="6"/>
  <c r="L45" i="6"/>
  <c r="H45" i="6"/>
  <c r="L44" i="6"/>
  <c r="H44" i="6"/>
  <c r="L43" i="6"/>
  <c r="H43" i="6"/>
  <c r="K42" i="6"/>
  <c r="L42" i="6" s="1"/>
  <c r="H42" i="6"/>
  <c r="L41" i="6"/>
  <c r="H41" i="6"/>
  <c r="L40" i="6"/>
  <c r="K40" i="6"/>
  <c r="H40" i="6"/>
  <c r="K39" i="6"/>
  <c r="L39" i="6" s="1"/>
  <c r="H39" i="6"/>
  <c r="K38" i="6"/>
  <c r="L38" i="6" s="1"/>
  <c r="H38" i="6"/>
  <c r="K37" i="6"/>
  <c r="L37" i="6" s="1"/>
  <c r="H37" i="6"/>
  <c r="K36" i="6"/>
  <c r="L36" i="6" s="1"/>
  <c r="H36" i="6"/>
  <c r="K35" i="6"/>
  <c r="L35" i="6" s="1"/>
  <c r="H35" i="6"/>
  <c r="K34" i="6"/>
  <c r="L34" i="6" s="1"/>
  <c r="H34" i="6"/>
  <c r="K33" i="6"/>
  <c r="L33" i="6" s="1"/>
  <c r="H33" i="6"/>
  <c r="K32" i="6"/>
  <c r="L32" i="6" s="1"/>
  <c r="H32" i="6"/>
  <c r="L31" i="6"/>
  <c r="K31" i="6"/>
  <c r="H31" i="6"/>
  <c r="L30" i="6"/>
  <c r="H30" i="6"/>
  <c r="K29" i="6"/>
  <c r="L29" i="6" s="1"/>
  <c r="H29" i="6"/>
  <c r="L28" i="6"/>
  <c r="H28" i="6"/>
  <c r="K27" i="6"/>
  <c r="L27" i="6" s="1"/>
  <c r="H27" i="6"/>
  <c r="K26" i="6"/>
  <c r="L26" i="6" s="1"/>
  <c r="H26" i="6"/>
  <c r="K25" i="6"/>
  <c r="L25" i="6" s="1"/>
  <c r="H25" i="6"/>
  <c r="K24" i="6"/>
  <c r="L24" i="6" s="1"/>
  <c r="H24" i="6"/>
  <c r="L23" i="6"/>
  <c r="H23" i="6"/>
  <c r="L22" i="6"/>
  <c r="H22" i="6"/>
  <c r="K21" i="6"/>
  <c r="L21" i="6" s="1"/>
  <c r="H21" i="6"/>
  <c r="K20" i="6"/>
  <c r="L20" i="6" s="1"/>
  <c r="H20" i="6"/>
  <c r="K19" i="6"/>
  <c r="L19" i="6" s="1"/>
  <c r="H19" i="6"/>
  <c r="L18" i="6"/>
  <c r="H18" i="6"/>
  <c r="K17" i="6"/>
  <c r="L17" i="6" s="1"/>
  <c r="H17" i="6"/>
  <c r="K16" i="6"/>
  <c r="L16" i="6" s="1"/>
  <c r="H16" i="6"/>
  <c r="K15" i="6"/>
  <c r="L15" i="6" s="1"/>
  <c r="H15" i="6"/>
  <c r="K14" i="6"/>
  <c r="L14" i="6" s="1"/>
  <c r="H14" i="6"/>
  <c r="B142" i="3" l="1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Z147" i="3"/>
  <c r="Z148" i="3"/>
  <c r="AH148" i="3"/>
  <c r="AH147" i="3"/>
  <c r="Z142" i="3"/>
  <c r="AH142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AP419" i="3"/>
  <c r="AO419" i="3"/>
  <c r="AN419" i="3"/>
  <c r="AM419" i="3"/>
  <c r="AH419" i="3"/>
  <c r="AG419" i="3"/>
  <c r="AF419" i="3"/>
  <c r="AD419" i="3"/>
  <c r="AC419" i="3"/>
  <c r="AA419" i="3"/>
  <c r="Z419" i="3"/>
  <c r="L419" i="3"/>
  <c r="AQ419" i="3" s="1"/>
  <c r="F419" i="3"/>
  <c r="G419" i="3" s="1"/>
  <c r="AP418" i="3"/>
  <c r="AO418" i="3"/>
  <c r="AN418" i="3"/>
  <c r="AM418" i="3"/>
  <c r="AH418" i="3"/>
  <c r="AG418" i="3"/>
  <c r="AF418" i="3"/>
  <c r="AD418" i="3"/>
  <c r="AC418" i="3"/>
  <c r="AA418" i="3"/>
  <c r="Z418" i="3"/>
  <c r="L418" i="3"/>
  <c r="AE418" i="3" s="1"/>
  <c r="F418" i="3"/>
  <c r="AB418" i="3" s="1"/>
  <c r="AP417" i="3"/>
  <c r="AO417" i="3"/>
  <c r="AN417" i="3"/>
  <c r="AM417" i="3"/>
  <c r="AH417" i="3"/>
  <c r="AG417" i="3"/>
  <c r="AF417" i="3"/>
  <c r="AD417" i="3"/>
  <c r="AC417" i="3"/>
  <c r="AA417" i="3"/>
  <c r="Z417" i="3"/>
  <c r="L417" i="3"/>
  <c r="AE417" i="3" s="1"/>
  <c r="F417" i="3"/>
  <c r="AJ417" i="3" s="1"/>
  <c r="AP416" i="3"/>
  <c r="AO416" i="3"/>
  <c r="AN416" i="3"/>
  <c r="AM416" i="3"/>
  <c r="AH416" i="3"/>
  <c r="AG416" i="3"/>
  <c r="AF416" i="3"/>
  <c r="AD416" i="3"/>
  <c r="AC416" i="3"/>
  <c r="AA416" i="3"/>
  <c r="Z416" i="3"/>
  <c r="L416" i="3"/>
  <c r="AQ416" i="3" s="1"/>
  <c r="F416" i="3"/>
  <c r="G416" i="3" s="1"/>
  <c r="AP415" i="3"/>
  <c r="AO415" i="3"/>
  <c r="AN415" i="3"/>
  <c r="AM415" i="3"/>
  <c r="AH415" i="3"/>
  <c r="AG415" i="3"/>
  <c r="AF415" i="3"/>
  <c r="AD415" i="3"/>
  <c r="AC415" i="3"/>
  <c r="AA415" i="3"/>
  <c r="Z415" i="3"/>
  <c r="L415" i="3"/>
  <c r="AQ415" i="3" s="1"/>
  <c r="F415" i="3"/>
  <c r="AP414" i="3"/>
  <c r="AO414" i="3"/>
  <c r="AN414" i="3"/>
  <c r="AM414" i="3"/>
  <c r="AH414" i="3"/>
  <c r="AG414" i="3"/>
  <c r="AF414" i="3"/>
  <c r="AD414" i="3"/>
  <c r="AC414" i="3"/>
  <c r="AA414" i="3"/>
  <c r="Z414" i="3"/>
  <c r="L414" i="3"/>
  <c r="F414" i="3"/>
  <c r="AB414" i="3" s="1"/>
  <c r="AP413" i="3"/>
  <c r="AO413" i="3"/>
  <c r="AN413" i="3"/>
  <c r="AM413" i="3"/>
  <c r="AH413" i="3"/>
  <c r="AG413" i="3"/>
  <c r="AF413" i="3"/>
  <c r="AD413" i="3"/>
  <c r="AC413" i="3"/>
  <c r="AA413" i="3"/>
  <c r="Z413" i="3"/>
  <c r="L413" i="3"/>
  <c r="AE413" i="3" s="1"/>
  <c r="F413" i="3"/>
  <c r="AK413" i="3" s="1"/>
  <c r="AP412" i="3"/>
  <c r="AO412" i="3"/>
  <c r="AN412" i="3"/>
  <c r="AM412" i="3"/>
  <c r="AH412" i="3"/>
  <c r="AG412" i="3"/>
  <c r="AF412" i="3"/>
  <c r="AD412" i="3"/>
  <c r="AC412" i="3"/>
  <c r="AA412" i="3"/>
  <c r="Z412" i="3"/>
  <c r="L412" i="3"/>
  <c r="AQ412" i="3" s="1"/>
  <c r="F412" i="3"/>
  <c r="AK412" i="3" s="1"/>
  <c r="AP411" i="3"/>
  <c r="AO411" i="3"/>
  <c r="AN411" i="3"/>
  <c r="AM411" i="3"/>
  <c r="AH411" i="3"/>
  <c r="AG411" i="3"/>
  <c r="AF411" i="3"/>
  <c r="AD411" i="3"/>
  <c r="AC411" i="3"/>
  <c r="AA411" i="3"/>
  <c r="Z411" i="3"/>
  <c r="L411" i="3"/>
  <c r="F411" i="3"/>
  <c r="AP410" i="3"/>
  <c r="AO410" i="3"/>
  <c r="AN410" i="3"/>
  <c r="AM410" i="3"/>
  <c r="AH410" i="3"/>
  <c r="AG410" i="3"/>
  <c r="AF410" i="3"/>
  <c r="AD410" i="3"/>
  <c r="AC410" i="3"/>
  <c r="AA410" i="3"/>
  <c r="Z410" i="3"/>
  <c r="L410" i="3"/>
  <c r="AE410" i="3" s="1"/>
  <c r="F410" i="3"/>
  <c r="AI410" i="3" s="1"/>
  <c r="AP409" i="3"/>
  <c r="AO409" i="3"/>
  <c r="AN409" i="3"/>
  <c r="AM409" i="3"/>
  <c r="AH409" i="3"/>
  <c r="AG409" i="3"/>
  <c r="AF409" i="3"/>
  <c r="AD409" i="3"/>
  <c r="AC409" i="3"/>
  <c r="AA409" i="3"/>
  <c r="Z409" i="3"/>
  <c r="L409" i="3"/>
  <c r="AQ409" i="3" s="1"/>
  <c r="F409" i="3"/>
  <c r="AB409" i="3" s="1"/>
  <c r="AP408" i="3"/>
  <c r="AO408" i="3"/>
  <c r="AN408" i="3"/>
  <c r="AM408" i="3"/>
  <c r="AH408" i="3"/>
  <c r="AG408" i="3"/>
  <c r="AF408" i="3"/>
  <c r="AD408" i="3"/>
  <c r="AC408" i="3"/>
  <c r="AA408" i="3"/>
  <c r="Z408" i="3"/>
  <c r="L408" i="3"/>
  <c r="AE408" i="3" s="1"/>
  <c r="F408" i="3"/>
  <c r="AP407" i="3"/>
  <c r="AO407" i="3"/>
  <c r="AN407" i="3"/>
  <c r="AM407" i="3"/>
  <c r="AH407" i="3"/>
  <c r="AG407" i="3"/>
  <c r="AF407" i="3"/>
  <c r="AD407" i="3"/>
  <c r="AC407" i="3"/>
  <c r="AA407" i="3"/>
  <c r="Z407" i="3"/>
  <c r="L407" i="3"/>
  <c r="AE407" i="3" s="1"/>
  <c r="F407" i="3"/>
  <c r="AP406" i="3"/>
  <c r="AO406" i="3"/>
  <c r="AN406" i="3"/>
  <c r="AM406" i="3"/>
  <c r="AH406" i="3"/>
  <c r="AG406" i="3"/>
  <c r="AF406" i="3"/>
  <c r="AD406" i="3"/>
  <c r="AC406" i="3"/>
  <c r="AA406" i="3"/>
  <c r="Z406" i="3"/>
  <c r="L406" i="3"/>
  <c r="AE406" i="3" s="1"/>
  <c r="F406" i="3"/>
  <c r="AK406" i="3" s="1"/>
  <c r="AP405" i="3"/>
  <c r="AO405" i="3"/>
  <c r="AN405" i="3"/>
  <c r="AM405" i="3"/>
  <c r="AH405" i="3"/>
  <c r="AG405" i="3"/>
  <c r="AF405" i="3"/>
  <c r="AD405" i="3"/>
  <c r="AC405" i="3"/>
  <c r="AA405" i="3"/>
  <c r="Z405" i="3"/>
  <c r="L405" i="3"/>
  <c r="AE405" i="3" s="1"/>
  <c r="F405" i="3"/>
  <c r="AP404" i="3"/>
  <c r="AO404" i="3"/>
  <c r="AN404" i="3"/>
  <c r="AM404" i="3"/>
  <c r="AH404" i="3"/>
  <c r="AG404" i="3"/>
  <c r="AF404" i="3"/>
  <c r="AD404" i="3"/>
  <c r="AC404" i="3"/>
  <c r="AA404" i="3"/>
  <c r="Z404" i="3"/>
  <c r="L404" i="3"/>
  <c r="AQ404" i="3" s="1"/>
  <c r="F404" i="3"/>
  <c r="AB404" i="3" s="1"/>
  <c r="AP403" i="3"/>
  <c r="AO403" i="3"/>
  <c r="AN403" i="3"/>
  <c r="AM403" i="3"/>
  <c r="AH403" i="3"/>
  <c r="AG403" i="3"/>
  <c r="AF403" i="3"/>
  <c r="AD403" i="3"/>
  <c r="AC403" i="3"/>
  <c r="AA403" i="3"/>
  <c r="Z403" i="3"/>
  <c r="L403" i="3"/>
  <c r="AE403" i="3" s="1"/>
  <c r="F403" i="3"/>
  <c r="AB403" i="3" s="1"/>
  <c r="AP402" i="3"/>
  <c r="AO402" i="3"/>
  <c r="AN402" i="3"/>
  <c r="AM402" i="3"/>
  <c r="AH402" i="3"/>
  <c r="AG402" i="3"/>
  <c r="AF402" i="3"/>
  <c r="AD402" i="3"/>
  <c r="AC402" i="3"/>
  <c r="AA402" i="3"/>
  <c r="Z402" i="3"/>
  <c r="L402" i="3"/>
  <c r="AE402" i="3" s="1"/>
  <c r="F402" i="3"/>
  <c r="AK402" i="3" s="1"/>
  <c r="AP401" i="3"/>
  <c r="AO401" i="3"/>
  <c r="AN401" i="3"/>
  <c r="AM401" i="3"/>
  <c r="AH401" i="3"/>
  <c r="AG401" i="3"/>
  <c r="AF401" i="3"/>
  <c r="AD401" i="3"/>
  <c r="AC401" i="3"/>
  <c r="AA401" i="3"/>
  <c r="Z401" i="3"/>
  <c r="L401" i="3"/>
  <c r="AQ401" i="3" s="1"/>
  <c r="F401" i="3"/>
  <c r="AP400" i="3"/>
  <c r="AO400" i="3"/>
  <c r="AN400" i="3"/>
  <c r="AM400" i="3"/>
  <c r="AH400" i="3"/>
  <c r="AG400" i="3"/>
  <c r="AF400" i="3"/>
  <c r="AD400" i="3"/>
  <c r="AC400" i="3"/>
  <c r="AA400" i="3"/>
  <c r="Z400" i="3"/>
  <c r="L400" i="3"/>
  <c r="AE400" i="3" s="1"/>
  <c r="F400" i="3"/>
  <c r="AI400" i="3" s="1"/>
  <c r="AP399" i="3"/>
  <c r="AO399" i="3"/>
  <c r="AN399" i="3"/>
  <c r="AM399" i="3"/>
  <c r="AH399" i="3"/>
  <c r="AG399" i="3"/>
  <c r="AF399" i="3"/>
  <c r="AD399" i="3"/>
  <c r="AC399" i="3"/>
  <c r="AA399" i="3"/>
  <c r="Z399" i="3"/>
  <c r="L399" i="3"/>
  <c r="AE399" i="3" s="1"/>
  <c r="F399" i="3"/>
  <c r="AJ399" i="3" s="1"/>
  <c r="AP398" i="3"/>
  <c r="AO398" i="3"/>
  <c r="AN398" i="3"/>
  <c r="AM398" i="3"/>
  <c r="AH398" i="3"/>
  <c r="AG398" i="3"/>
  <c r="AF398" i="3"/>
  <c r="AD398" i="3"/>
  <c r="AC398" i="3"/>
  <c r="AA398" i="3"/>
  <c r="Z398" i="3"/>
  <c r="L398" i="3"/>
  <c r="AQ398" i="3" s="1"/>
  <c r="F398" i="3"/>
  <c r="G398" i="3" s="1"/>
  <c r="AP397" i="3"/>
  <c r="AO397" i="3"/>
  <c r="AN397" i="3"/>
  <c r="AM397" i="3"/>
  <c r="AH397" i="3"/>
  <c r="AG397" i="3"/>
  <c r="AF397" i="3"/>
  <c r="AD397" i="3"/>
  <c r="AC397" i="3"/>
  <c r="AA397" i="3"/>
  <c r="Z397" i="3"/>
  <c r="L397" i="3"/>
  <c r="AQ397" i="3" s="1"/>
  <c r="F397" i="3"/>
  <c r="AB397" i="3" s="1"/>
  <c r="AP396" i="3"/>
  <c r="AO396" i="3"/>
  <c r="AN396" i="3"/>
  <c r="AM396" i="3"/>
  <c r="AH396" i="3"/>
  <c r="AG396" i="3"/>
  <c r="AF396" i="3"/>
  <c r="AD396" i="3"/>
  <c r="AC396" i="3"/>
  <c r="AA396" i="3"/>
  <c r="Z396" i="3"/>
  <c r="L396" i="3"/>
  <c r="AQ396" i="3" s="1"/>
  <c r="F396" i="3"/>
  <c r="AB396" i="3" s="1"/>
  <c r="AP395" i="3"/>
  <c r="AO395" i="3"/>
  <c r="AN395" i="3"/>
  <c r="AM395" i="3"/>
  <c r="AK395" i="3"/>
  <c r="AJ395" i="3"/>
  <c r="AI395" i="3"/>
  <c r="AH395" i="3"/>
  <c r="AG395" i="3"/>
  <c r="AF395" i="3"/>
  <c r="AD395" i="3"/>
  <c r="AC395" i="3"/>
  <c r="AB395" i="3"/>
  <c r="AA395" i="3"/>
  <c r="Z395" i="3"/>
  <c r="L395" i="3"/>
  <c r="AQ395" i="3" s="1"/>
  <c r="G395" i="3"/>
  <c r="F395" i="3"/>
  <c r="AP394" i="3"/>
  <c r="AO394" i="3"/>
  <c r="AN394" i="3"/>
  <c r="AM394" i="3"/>
  <c r="AH394" i="3"/>
  <c r="AG394" i="3"/>
  <c r="AF394" i="3"/>
  <c r="AD394" i="3"/>
  <c r="AC394" i="3"/>
  <c r="AA394" i="3"/>
  <c r="Z394" i="3"/>
  <c r="L394" i="3"/>
  <c r="AE394" i="3" s="1"/>
  <c r="F394" i="3"/>
  <c r="G394" i="3" s="1"/>
  <c r="AP393" i="3"/>
  <c r="AO393" i="3"/>
  <c r="AN393" i="3"/>
  <c r="AM393" i="3"/>
  <c r="AH393" i="3"/>
  <c r="AG393" i="3"/>
  <c r="AF393" i="3"/>
  <c r="AD393" i="3"/>
  <c r="AC393" i="3"/>
  <c r="AA393" i="3"/>
  <c r="Z393" i="3"/>
  <c r="L393" i="3"/>
  <c r="AQ393" i="3" s="1"/>
  <c r="F393" i="3"/>
  <c r="AB393" i="3" s="1"/>
  <c r="AP392" i="3"/>
  <c r="AO392" i="3"/>
  <c r="AN392" i="3"/>
  <c r="AM392" i="3"/>
  <c r="AH392" i="3"/>
  <c r="AG392" i="3"/>
  <c r="AF392" i="3"/>
  <c r="AD392" i="3"/>
  <c r="AC392" i="3"/>
  <c r="AA392" i="3"/>
  <c r="Z392" i="3"/>
  <c r="L392" i="3"/>
  <c r="AE392" i="3" s="1"/>
  <c r="F392" i="3"/>
  <c r="AB392" i="3" s="1"/>
  <c r="AP391" i="3"/>
  <c r="AO391" i="3"/>
  <c r="AN391" i="3"/>
  <c r="AM391" i="3"/>
  <c r="AK391" i="3"/>
  <c r="AJ391" i="3"/>
  <c r="AI391" i="3"/>
  <c r="AH391" i="3"/>
  <c r="AG391" i="3"/>
  <c r="AF391" i="3"/>
  <c r="AD391" i="3"/>
  <c r="AC391" i="3"/>
  <c r="AB391" i="3"/>
  <c r="AA391" i="3"/>
  <c r="L391" i="3"/>
  <c r="G391" i="3"/>
  <c r="F391" i="3"/>
  <c r="AQ390" i="3"/>
  <c r="AP390" i="3"/>
  <c r="AO390" i="3"/>
  <c r="AN390" i="3"/>
  <c r="AM390" i="3"/>
  <c r="AH390" i="3"/>
  <c r="AG390" i="3"/>
  <c r="AF390" i="3"/>
  <c r="AE390" i="3"/>
  <c r="AD390" i="3"/>
  <c r="AC390" i="3"/>
  <c r="AA390" i="3"/>
  <c r="Z390" i="3"/>
  <c r="F390" i="3"/>
  <c r="G390" i="3" s="1"/>
  <c r="AP389" i="3"/>
  <c r="AO389" i="3"/>
  <c r="AN389" i="3"/>
  <c r="AM389" i="3"/>
  <c r="AH389" i="3"/>
  <c r="AG389" i="3"/>
  <c r="AF389" i="3"/>
  <c r="AD389" i="3"/>
  <c r="AC389" i="3"/>
  <c r="AA389" i="3"/>
  <c r="Z389" i="3"/>
  <c r="L389" i="3"/>
  <c r="AQ389" i="3" s="1"/>
  <c r="F389" i="3"/>
  <c r="AB389" i="3" s="1"/>
  <c r="AP388" i="3"/>
  <c r="AO388" i="3"/>
  <c r="AN388" i="3"/>
  <c r="AM388" i="3"/>
  <c r="AH388" i="3"/>
  <c r="AG388" i="3"/>
  <c r="AF388" i="3"/>
  <c r="AD388" i="3"/>
  <c r="AC388" i="3"/>
  <c r="AA388" i="3"/>
  <c r="Z388" i="3"/>
  <c r="L388" i="3"/>
  <c r="AE388" i="3" s="1"/>
  <c r="F388" i="3"/>
  <c r="AB388" i="3" s="1"/>
  <c r="AP387" i="3"/>
  <c r="AO387" i="3"/>
  <c r="AN387" i="3"/>
  <c r="AM387" i="3"/>
  <c r="AK387" i="3"/>
  <c r="AJ387" i="3"/>
  <c r="AI387" i="3"/>
  <c r="AH387" i="3"/>
  <c r="AG387" i="3"/>
  <c r="AF387" i="3"/>
  <c r="AD387" i="3"/>
  <c r="AC387" i="3"/>
  <c r="AB387" i="3"/>
  <c r="AA387" i="3"/>
  <c r="L387" i="3"/>
  <c r="G387" i="3"/>
  <c r="F387" i="3"/>
  <c r="AP386" i="3"/>
  <c r="AO386" i="3"/>
  <c r="AN386" i="3"/>
  <c r="AM386" i="3"/>
  <c r="AK386" i="3"/>
  <c r="AJ386" i="3"/>
  <c r="AI386" i="3"/>
  <c r="AH386" i="3"/>
  <c r="AG386" i="3"/>
  <c r="AF386" i="3"/>
  <c r="AD386" i="3"/>
  <c r="AC386" i="3"/>
  <c r="AB386" i="3"/>
  <c r="AA386" i="3"/>
  <c r="L386" i="3"/>
  <c r="AQ386" i="3" s="1"/>
  <c r="G386" i="3"/>
  <c r="F386" i="3"/>
  <c r="AP385" i="3"/>
  <c r="AO385" i="3"/>
  <c r="AN385" i="3"/>
  <c r="AM385" i="3"/>
  <c r="AH385" i="3"/>
  <c r="AG385" i="3"/>
  <c r="AF385" i="3"/>
  <c r="AD385" i="3"/>
  <c r="AC385" i="3"/>
  <c r="AA385" i="3"/>
  <c r="Z385" i="3"/>
  <c r="L385" i="3"/>
  <c r="AQ385" i="3" s="1"/>
  <c r="F385" i="3"/>
  <c r="AI385" i="3" s="1"/>
  <c r="AP384" i="3"/>
  <c r="AO384" i="3"/>
  <c r="AN384" i="3"/>
  <c r="AM384" i="3"/>
  <c r="AH384" i="3"/>
  <c r="AG384" i="3"/>
  <c r="AF384" i="3"/>
  <c r="AD384" i="3"/>
  <c r="AC384" i="3"/>
  <c r="AA384" i="3"/>
  <c r="Z384" i="3"/>
  <c r="L384" i="3"/>
  <c r="AE384" i="3" s="1"/>
  <c r="F384" i="3"/>
  <c r="AB384" i="3" s="1"/>
  <c r="AP383" i="3"/>
  <c r="AO383" i="3"/>
  <c r="AN383" i="3"/>
  <c r="AM383" i="3"/>
  <c r="AH383" i="3"/>
  <c r="AG383" i="3"/>
  <c r="AF383" i="3"/>
  <c r="AD383" i="3"/>
  <c r="AC383" i="3"/>
  <c r="AA383" i="3"/>
  <c r="Z383" i="3"/>
  <c r="L383" i="3"/>
  <c r="AE383" i="3" s="1"/>
  <c r="F383" i="3"/>
  <c r="AK383" i="3" s="1"/>
  <c r="AP382" i="3"/>
  <c r="AO382" i="3"/>
  <c r="AN382" i="3"/>
  <c r="AM382" i="3"/>
  <c r="AK382" i="3"/>
  <c r="AJ382" i="3"/>
  <c r="AI382" i="3"/>
  <c r="AH382" i="3"/>
  <c r="AG382" i="3"/>
  <c r="AF382" i="3"/>
  <c r="AD382" i="3"/>
  <c r="AC382" i="3"/>
  <c r="AB382" i="3"/>
  <c r="AA382" i="3"/>
  <c r="L382" i="3"/>
  <c r="AQ382" i="3" s="1"/>
  <c r="G382" i="3"/>
  <c r="F382" i="3"/>
  <c r="AP381" i="3"/>
  <c r="AO381" i="3"/>
  <c r="AN381" i="3"/>
  <c r="AM381" i="3"/>
  <c r="AH381" i="3"/>
  <c r="AG381" i="3"/>
  <c r="AF381" i="3"/>
  <c r="AD381" i="3"/>
  <c r="AC381" i="3"/>
  <c r="AA381" i="3"/>
  <c r="Z381" i="3"/>
  <c r="L381" i="3"/>
  <c r="AQ381" i="3" s="1"/>
  <c r="F381" i="3"/>
  <c r="AB381" i="3" s="1"/>
  <c r="AP380" i="3"/>
  <c r="AO380" i="3"/>
  <c r="AN380" i="3"/>
  <c r="AM380" i="3"/>
  <c r="AH380" i="3"/>
  <c r="AG380" i="3"/>
  <c r="AF380" i="3"/>
  <c r="AD380" i="3"/>
  <c r="AC380" i="3"/>
  <c r="AA380" i="3"/>
  <c r="Z380" i="3"/>
  <c r="L380" i="3"/>
  <c r="AE380" i="3" s="1"/>
  <c r="F380" i="3"/>
  <c r="AI380" i="3" s="1"/>
  <c r="AP379" i="3"/>
  <c r="AO379" i="3"/>
  <c r="AN379" i="3"/>
  <c r="AM379" i="3"/>
  <c r="AH379" i="3"/>
  <c r="AG379" i="3"/>
  <c r="AF379" i="3"/>
  <c r="AD379" i="3"/>
  <c r="AC379" i="3"/>
  <c r="AA379" i="3"/>
  <c r="Z379" i="3"/>
  <c r="L379" i="3"/>
  <c r="AQ379" i="3" s="1"/>
  <c r="F379" i="3"/>
  <c r="AK379" i="3" s="1"/>
  <c r="AP378" i="3"/>
  <c r="AO378" i="3"/>
  <c r="AN378" i="3"/>
  <c r="AM378" i="3"/>
  <c r="AH378" i="3"/>
  <c r="AG378" i="3"/>
  <c r="AF378" i="3"/>
  <c r="AD378" i="3"/>
  <c r="AC378" i="3"/>
  <c r="AA378" i="3"/>
  <c r="Z378" i="3"/>
  <c r="L378" i="3"/>
  <c r="AQ378" i="3" s="1"/>
  <c r="F378" i="3"/>
  <c r="G378" i="3" s="1"/>
  <c r="AP377" i="3"/>
  <c r="AO377" i="3"/>
  <c r="AN377" i="3"/>
  <c r="AM377" i="3"/>
  <c r="AH377" i="3"/>
  <c r="AG377" i="3"/>
  <c r="AF377" i="3"/>
  <c r="AD377" i="3"/>
  <c r="AC377" i="3"/>
  <c r="AA377" i="3"/>
  <c r="Z377" i="3"/>
  <c r="L377" i="3"/>
  <c r="AE377" i="3" s="1"/>
  <c r="F377" i="3"/>
  <c r="AB377" i="3" s="1"/>
  <c r="AP376" i="3"/>
  <c r="AO376" i="3"/>
  <c r="AN376" i="3"/>
  <c r="AM376" i="3"/>
  <c r="AK376" i="3"/>
  <c r="AJ376" i="3"/>
  <c r="AI376" i="3"/>
  <c r="AH376" i="3"/>
  <c r="AG376" i="3"/>
  <c r="AF376" i="3"/>
  <c r="AD376" i="3"/>
  <c r="AC376" i="3"/>
  <c r="AB376" i="3"/>
  <c r="AA376" i="3"/>
  <c r="L376" i="3"/>
  <c r="G376" i="3"/>
  <c r="F376" i="3"/>
  <c r="AP375" i="3"/>
  <c r="AO375" i="3"/>
  <c r="AN375" i="3"/>
  <c r="AM375" i="3"/>
  <c r="AK375" i="3"/>
  <c r="AJ375" i="3"/>
  <c r="AI375" i="3"/>
  <c r="AH375" i="3"/>
  <c r="AG375" i="3"/>
  <c r="AF375" i="3"/>
  <c r="AD375" i="3"/>
  <c r="AC375" i="3"/>
  <c r="AB375" i="3"/>
  <c r="AA375" i="3"/>
  <c r="L375" i="3"/>
  <c r="AQ375" i="3" s="1"/>
  <c r="G375" i="3"/>
  <c r="F375" i="3"/>
  <c r="AP374" i="3"/>
  <c r="AO374" i="3"/>
  <c r="AN374" i="3"/>
  <c r="AM374" i="3"/>
  <c r="AK374" i="3"/>
  <c r="AJ374" i="3"/>
  <c r="AI374" i="3"/>
  <c r="AH374" i="3"/>
  <c r="AG374" i="3"/>
  <c r="AF374" i="3"/>
  <c r="AD374" i="3"/>
  <c r="AC374" i="3"/>
  <c r="AB374" i="3"/>
  <c r="AA374" i="3"/>
  <c r="L374" i="3"/>
  <c r="AQ374" i="3" s="1"/>
  <c r="G374" i="3"/>
  <c r="F374" i="3"/>
  <c r="AP373" i="3"/>
  <c r="AO373" i="3"/>
  <c r="AN373" i="3"/>
  <c r="AM373" i="3"/>
  <c r="AH373" i="3"/>
  <c r="AG373" i="3"/>
  <c r="AF373" i="3"/>
  <c r="AD373" i="3"/>
  <c r="AC373" i="3"/>
  <c r="AA373" i="3"/>
  <c r="Z373" i="3"/>
  <c r="L373" i="3"/>
  <c r="AE373" i="3" s="1"/>
  <c r="F373" i="3"/>
  <c r="AB373" i="3" s="1"/>
  <c r="AP372" i="3"/>
  <c r="AO372" i="3"/>
  <c r="AN372" i="3"/>
  <c r="AM372" i="3"/>
  <c r="AH372" i="3"/>
  <c r="AG372" i="3"/>
  <c r="AF372" i="3"/>
  <c r="AD372" i="3"/>
  <c r="AC372" i="3"/>
  <c r="AA372" i="3"/>
  <c r="Z372" i="3"/>
  <c r="L372" i="3"/>
  <c r="AE372" i="3" s="1"/>
  <c r="F372" i="3"/>
  <c r="AJ372" i="3" s="1"/>
  <c r="AP371" i="3"/>
  <c r="AO371" i="3"/>
  <c r="AN371" i="3"/>
  <c r="AM371" i="3"/>
  <c r="AH371" i="3"/>
  <c r="AG371" i="3"/>
  <c r="AF371" i="3"/>
  <c r="AD371" i="3"/>
  <c r="AC371" i="3"/>
  <c r="AA371" i="3"/>
  <c r="Z371" i="3"/>
  <c r="L371" i="3"/>
  <c r="AQ371" i="3" s="1"/>
  <c r="F371" i="3"/>
  <c r="G371" i="3" s="1"/>
  <c r="AP370" i="3"/>
  <c r="AO370" i="3"/>
  <c r="AN370" i="3"/>
  <c r="AM370" i="3"/>
  <c r="AH370" i="3"/>
  <c r="AG370" i="3"/>
  <c r="AF370" i="3"/>
  <c r="AD370" i="3"/>
  <c r="AC370" i="3"/>
  <c r="AA370" i="3"/>
  <c r="Z370" i="3"/>
  <c r="L370" i="3"/>
  <c r="AQ370" i="3" s="1"/>
  <c r="F370" i="3"/>
  <c r="AP369" i="3"/>
  <c r="AO369" i="3"/>
  <c r="AN369" i="3"/>
  <c r="AM369" i="3"/>
  <c r="AH369" i="3"/>
  <c r="AG369" i="3"/>
  <c r="AF369" i="3"/>
  <c r="AD369" i="3"/>
  <c r="AC369" i="3"/>
  <c r="AA369" i="3"/>
  <c r="Z369" i="3"/>
  <c r="L369" i="3"/>
  <c r="AE369" i="3" s="1"/>
  <c r="F369" i="3"/>
  <c r="AB369" i="3" s="1"/>
  <c r="AP368" i="3"/>
  <c r="AO368" i="3"/>
  <c r="AN368" i="3"/>
  <c r="AM368" i="3"/>
  <c r="AH368" i="3"/>
  <c r="AG368" i="3"/>
  <c r="AF368" i="3"/>
  <c r="AD368" i="3"/>
  <c r="AC368" i="3"/>
  <c r="AA368" i="3"/>
  <c r="Z368" i="3"/>
  <c r="L368" i="3"/>
  <c r="AE368" i="3" s="1"/>
  <c r="F368" i="3"/>
  <c r="AK368" i="3" s="1"/>
  <c r="AP367" i="3"/>
  <c r="AO367" i="3"/>
  <c r="AN367" i="3"/>
  <c r="AM367" i="3"/>
  <c r="AK367" i="3"/>
  <c r="AJ367" i="3"/>
  <c r="AI367" i="3"/>
  <c r="AH367" i="3"/>
  <c r="AG367" i="3"/>
  <c r="AF367" i="3"/>
  <c r="AD367" i="3"/>
  <c r="AC367" i="3"/>
  <c r="AB367" i="3"/>
  <c r="AA367" i="3"/>
  <c r="L367" i="3"/>
  <c r="AQ367" i="3" s="1"/>
  <c r="G367" i="3"/>
  <c r="F367" i="3"/>
  <c r="AP366" i="3"/>
  <c r="AO366" i="3"/>
  <c r="AN366" i="3"/>
  <c r="AM366" i="3"/>
  <c r="AK366" i="3"/>
  <c r="AJ366" i="3"/>
  <c r="AI366" i="3"/>
  <c r="AH366" i="3"/>
  <c r="AG366" i="3"/>
  <c r="AF366" i="3"/>
  <c r="AD366" i="3"/>
  <c r="AC366" i="3"/>
  <c r="AB366" i="3"/>
  <c r="AA366" i="3"/>
  <c r="L366" i="3"/>
  <c r="G366" i="3"/>
  <c r="F366" i="3"/>
  <c r="AP365" i="3"/>
  <c r="AO365" i="3"/>
  <c r="AN365" i="3"/>
  <c r="AM365" i="3"/>
  <c r="AK365" i="3"/>
  <c r="AJ365" i="3"/>
  <c r="AI365" i="3"/>
  <c r="AH365" i="3"/>
  <c r="AG365" i="3"/>
  <c r="AF365" i="3"/>
  <c r="AD365" i="3"/>
  <c r="AC365" i="3"/>
  <c r="AB365" i="3"/>
  <c r="AA365" i="3"/>
  <c r="L365" i="3"/>
  <c r="G365" i="3"/>
  <c r="F365" i="3"/>
  <c r="AP364" i="3"/>
  <c r="AO364" i="3"/>
  <c r="AN364" i="3"/>
  <c r="AM364" i="3"/>
  <c r="AK364" i="3"/>
  <c r="AJ364" i="3"/>
  <c r="AI364" i="3"/>
  <c r="AH364" i="3"/>
  <c r="AG364" i="3"/>
  <c r="AF364" i="3"/>
  <c r="AD364" i="3"/>
  <c r="AC364" i="3"/>
  <c r="AB364" i="3"/>
  <c r="AA364" i="3"/>
  <c r="L364" i="3"/>
  <c r="G364" i="3"/>
  <c r="F364" i="3"/>
  <c r="AP363" i="3"/>
  <c r="AO363" i="3"/>
  <c r="AN363" i="3"/>
  <c r="AM363" i="3"/>
  <c r="AK363" i="3"/>
  <c r="AJ363" i="3"/>
  <c r="AI363" i="3"/>
  <c r="AH363" i="3"/>
  <c r="AG363" i="3"/>
  <c r="AF363" i="3"/>
  <c r="AD363" i="3"/>
  <c r="AC363" i="3"/>
  <c r="AB363" i="3"/>
  <c r="AA363" i="3"/>
  <c r="L363" i="3"/>
  <c r="AQ363" i="3" s="1"/>
  <c r="G363" i="3"/>
  <c r="F363" i="3"/>
  <c r="AP362" i="3"/>
  <c r="AO362" i="3"/>
  <c r="AN362" i="3"/>
  <c r="AM362" i="3"/>
  <c r="AK362" i="3"/>
  <c r="AJ362" i="3"/>
  <c r="AI362" i="3"/>
  <c r="AH362" i="3"/>
  <c r="AG362" i="3"/>
  <c r="AF362" i="3"/>
  <c r="AD362" i="3"/>
  <c r="AC362" i="3"/>
  <c r="AB362" i="3"/>
  <c r="AA362" i="3"/>
  <c r="L362" i="3"/>
  <c r="AQ362" i="3" s="1"/>
  <c r="G362" i="3"/>
  <c r="F362" i="3"/>
  <c r="AP361" i="3"/>
  <c r="AO361" i="3"/>
  <c r="AN361" i="3"/>
  <c r="AM361" i="3"/>
  <c r="AK361" i="3"/>
  <c r="AJ361" i="3"/>
  <c r="AI361" i="3"/>
  <c r="AH361" i="3"/>
  <c r="AG361" i="3"/>
  <c r="AF361" i="3"/>
  <c r="AD361" i="3"/>
  <c r="AC361" i="3"/>
  <c r="AB361" i="3"/>
  <c r="AA361" i="3"/>
  <c r="L361" i="3"/>
  <c r="AQ361" i="3" s="1"/>
  <c r="G361" i="3"/>
  <c r="F361" i="3"/>
  <c r="AP360" i="3"/>
  <c r="AO360" i="3"/>
  <c r="AN360" i="3"/>
  <c r="AM360" i="3"/>
  <c r="AH360" i="3"/>
  <c r="AG360" i="3"/>
  <c r="AF360" i="3"/>
  <c r="AD360" i="3"/>
  <c r="AC360" i="3"/>
  <c r="AA360" i="3"/>
  <c r="Z360" i="3"/>
  <c r="L360" i="3"/>
  <c r="AE360" i="3" s="1"/>
  <c r="F360" i="3"/>
  <c r="G360" i="3" s="1"/>
  <c r="AP359" i="3"/>
  <c r="AO359" i="3"/>
  <c r="AN359" i="3"/>
  <c r="AM359" i="3"/>
  <c r="AH359" i="3"/>
  <c r="AG359" i="3"/>
  <c r="AF359" i="3"/>
  <c r="AD359" i="3"/>
  <c r="AC359" i="3"/>
  <c r="AA359" i="3"/>
  <c r="Z359" i="3"/>
  <c r="L359" i="3"/>
  <c r="AQ359" i="3" s="1"/>
  <c r="F359" i="3"/>
  <c r="AP358" i="3"/>
  <c r="AO358" i="3"/>
  <c r="AN358" i="3"/>
  <c r="AM358" i="3"/>
  <c r="AH358" i="3"/>
  <c r="AG358" i="3"/>
  <c r="AF358" i="3"/>
  <c r="AD358" i="3"/>
  <c r="AC358" i="3"/>
  <c r="AA358" i="3"/>
  <c r="Z358" i="3"/>
  <c r="L358" i="3"/>
  <c r="AE358" i="3" s="1"/>
  <c r="F358" i="3"/>
  <c r="AJ358" i="3" s="1"/>
  <c r="AP357" i="3"/>
  <c r="AO357" i="3"/>
  <c r="AN357" i="3"/>
  <c r="AM357" i="3"/>
  <c r="AH357" i="3"/>
  <c r="AG357" i="3"/>
  <c r="AF357" i="3"/>
  <c r="AD357" i="3"/>
  <c r="AC357" i="3"/>
  <c r="AA357" i="3"/>
  <c r="Z357" i="3"/>
  <c r="L357" i="3"/>
  <c r="F357" i="3"/>
  <c r="AB357" i="3" s="1"/>
  <c r="AP356" i="3"/>
  <c r="AO356" i="3"/>
  <c r="AN356" i="3"/>
  <c r="AM356" i="3"/>
  <c r="AK356" i="3"/>
  <c r="AJ356" i="3"/>
  <c r="AI356" i="3"/>
  <c r="AH356" i="3"/>
  <c r="AG356" i="3"/>
  <c r="AF356" i="3"/>
  <c r="AD356" i="3"/>
  <c r="AC356" i="3"/>
  <c r="AB356" i="3"/>
  <c r="AA356" i="3"/>
  <c r="L356" i="3"/>
  <c r="G356" i="3"/>
  <c r="F356" i="3"/>
  <c r="AP355" i="3"/>
  <c r="AO355" i="3"/>
  <c r="AN355" i="3"/>
  <c r="AM355" i="3"/>
  <c r="AH355" i="3"/>
  <c r="AG355" i="3"/>
  <c r="AF355" i="3"/>
  <c r="AD355" i="3"/>
  <c r="AC355" i="3"/>
  <c r="AA355" i="3"/>
  <c r="Z355" i="3"/>
  <c r="L355" i="3"/>
  <c r="AQ355" i="3" s="1"/>
  <c r="F355" i="3"/>
  <c r="G355" i="3" s="1"/>
  <c r="AP354" i="3"/>
  <c r="AO354" i="3"/>
  <c r="AN354" i="3"/>
  <c r="AM354" i="3"/>
  <c r="AH354" i="3"/>
  <c r="AG354" i="3"/>
  <c r="AF354" i="3"/>
  <c r="AD354" i="3"/>
  <c r="AC354" i="3"/>
  <c r="AA354" i="3"/>
  <c r="Z354" i="3"/>
  <c r="L354" i="3"/>
  <c r="AQ354" i="3" s="1"/>
  <c r="F354" i="3"/>
  <c r="AB354" i="3" s="1"/>
  <c r="AP353" i="3"/>
  <c r="AO353" i="3"/>
  <c r="AN353" i="3"/>
  <c r="AM353" i="3"/>
  <c r="AH353" i="3"/>
  <c r="AG353" i="3"/>
  <c r="AF353" i="3"/>
  <c r="AD353" i="3"/>
  <c r="AC353" i="3"/>
  <c r="AA353" i="3"/>
  <c r="Z353" i="3"/>
  <c r="L353" i="3"/>
  <c r="AE353" i="3" s="1"/>
  <c r="F353" i="3"/>
  <c r="AB353" i="3" s="1"/>
  <c r="AP352" i="3"/>
  <c r="AO352" i="3"/>
  <c r="AN352" i="3"/>
  <c r="AM352" i="3"/>
  <c r="AH352" i="3"/>
  <c r="AG352" i="3"/>
  <c r="AF352" i="3"/>
  <c r="AD352" i="3"/>
  <c r="AC352" i="3"/>
  <c r="AA352" i="3"/>
  <c r="Z352" i="3"/>
  <c r="L352" i="3"/>
  <c r="AE352" i="3" s="1"/>
  <c r="F352" i="3"/>
  <c r="AK352" i="3" s="1"/>
  <c r="AP351" i="3"/>
  <c r="AO351" i="3"/>
  <c r="AN351" i="3"/>
  <c r="AM351" i="3"/>
  <c r="AH351" i="3"/>
  <c r="AG351" i="3"/>
  <c r="AF351" i="3"/>
  <c r="AD351" i="3"/>
  <c r="AC351" i="3"/>
  <c r="AA351" i="3"/>
  <c r="Z351" i="3"/>
  <c r="L351" i="3"/>
  <c r="AQ351" i="3" s="1"/>
  <c r="F351" i="3"/>
  <c r="G351" i="3" s="1"/>
  <c r="AP350" i="3"/>
  <c r="AO350" i="3"/>
  <c r="AN350" i="3"/>
  <c r="AM350" i="3"/>
  <c r="AH350" i="3"/>
  <c r="AG350" i="3"/>
  <c r="AF350" i="3"/>
  <c r="AD350" i="3"/>
  <c r="AC350" i="3"/>
  <c r="AA350" i="3"/>
  <c r="Z350" i="3"/>
  <c r="L350" i="3"/>
  <c r="AQ350" i="3" s="1"/>
  <c r="F350" i="3"/>
  <c r="AB350" i="3" s="1"/>
  <c r="AP349" i="3"/>
  <c r="AO349" i="3"/>
  <c r="AN349" i="3"/>
  <c r="AM349" i="3"/>
  <c r="AH349" i="3"/>
  <c r="AG349" i="3"/>
  <c r="AF349" i="3"/>
  <c r="AD349" i="3"/>
  <c r="AC349" i="3"/>
  <c r="AA349" i="3"/>
  <c r="Z349" i="3"/>
  <c r="L349" i="3"/>
  <c r="AE349" i="3" s="1"/>
  <c r="F349" i="3"/>
  <c r="AI349" i="3" s="1"/>
  <c r="AP348" i="3"/>
  <c r="AO348" i="3"/>
  <c r="AN348" i="3"/>
  <c r="AM348" i="3"/>
  <c r="AH348" i="3"/>
  <c r="AG348" i="3"/>
  <c r="AF348" i="3"/>
  <c r="AD348" i="3"/>
  <c r="AC348" i="3"/>
  <c r="AA348" i="3"/>
  <c r="Z348" i="3"/>
  <c r="L348" i="3"/>
  <c r="AQ348" i="3" s="1"/>
  <c r="F348" i="3"/>
  <c r="AK348" i="3" s="1"/>
  <c r="AG2" i="3"/>
  <c r="AH2" i="3"/>
  <c r="AH3" i="3"/>
  <c r="AG4" i="3"/>
  <c r="AH4" i="3"/>
  <c r="AH5" i="3"/>
  <c r="AH6" i="3"/>
  <c r="AH7" i="3"/>
  <c r="AH8" i="3"/>
  <c r="AH9" i="3"/>
  <c r="AH10" i="3"/>
  <c r="AH11" i="3"/>
  <c r="AH12" i="3"/>
  <c r="AG13" i="3"/>
  <c r="AH13" i="3"/>
  <c r="AG14" i="3"/>
  <c r="AH14" i="3"/>
  <c r="AG15" i="3"/>
  <c r="AH15" i="3"/>
  <c r="AG16" i="3"/>
  <c r="AH16" i="3"/>
  <c r="AG17" i="3"/>
  <c r="AH17" i="3"/>
  <c r="AH18" i="3"/>
  <c r="AH19" i="3"/>
  <c r="AH20" i="3"/>
  <c r="AH21" i="3"/>
  <c r="AG22" i="3"/>
  <c r="AH22" i="3"/>
  <c r="AG23" i="3"/>
  <c r="AH23" i="3"/>
  <c r="AG24" i="3"/>
  <c r="AH24" i="3"/>
  <c r="AG25" i="3"/>
  <c r="AH25" i="3"/>
  <c r="AG26" i="3"/>
  <c r="AH26" i="3"/>
  <c r="AH27" i="3"/>
  <c r="AH28" i="3"/>
  <c r="AH29" i="3"/>
  <c r="AG30" i="3"/>
  <c r="AH30" i="3"/>
  <c r="AG31" i="3"/>
  <c r="AH31" i="3"/>
  <c r="AG32" i="3"/>
  <c r="AH32" i="3"/>
  <c r="AG33" i="3"/>
  <c r="AH33" i="3"/>
  <c r="AG34" i="3"/>
  <c r="AH34" i="3"/>
  <c r="AG35" i="3"/>
  <c r="AH35" i="3"/>
  <c r="AG36" i="3"/>
  <c r="AH36" i="3"/>
  <c r="AG37" i="3"/>
  <c r="AH37" i="3"/>
  <c r="AH38" i="3"/>
  <c r="AH39" i="3"/>
  <c r="AH40" i="3"/>
  <c r="AH41" i="3"/>
  <c r="AH42" i="3"/>
  <c r="AH43" i="3"/>
  <c r="AH44" i="3"/>
  <c r="AG45" i="3"/>
  <c r="AH45" i="3"/>
  <c r="AG46" i="3"/>
  <c r="AH46" i="3"/>
  <c r="AG47" i="3"/>
  <c r="AH47" i="3"/>
  <c r="AG48" i="3"/>
  <c r="AH48" i="3"/>
  <c r="AG49" i="3"/>
  <c r="AH49" i="3"/>
  <c r="AG50" i="3"/>
  <c r="AH50" i="3"/>
  <c r="AG51" i="3"/>
  <c r="AH51" i="3"/>
  <c r="AG52" i="3"/>
  <c r="AH52" i="3"/>
  <c r="AH53" i="3"/>
  <c r="AH54" i="3"/>
  <c r="AG55" i="3"/>
  <c r="AH55" i="3"/>
  <c r="AG56" i="3"/>
  <c r="AH56" i="3"/>
  <c r="AG57" i="3"/>
  <c r="AH57" i="3"/>
  <c r="AG58" i="3"/>
  <c r="AH58" i="3"/>
  <c r="AG59" i="3"/>
  <c r="AH59" i="3"/>
  <c r="AG60" i="3"/>
  <c r="AH60" i="3"/>
  <c r="AH61" i="3"/>
  <c r="AH62" i="3"/>
  <c r="AH63" i="3"/>
  <c r="AH64" i="3"/>
  <c r="AH65" i="3"/>
  <c r="AH66" i="3"/>
  <c r="AG67" i="3"/>
  <c r="AH67" i="3"/>
  <c r="AG68" i="3"/>
  <c r="AH68" i="3"/>
  <c r="AG69" i="3"/>
  <c r="AH69" i="3"/>
  <c r="AG70" i="3"/>
  <c r="AH70" i="3"/>
  <c r="AG71" i="3"/>
  <c r="AH71" i="3"/>
  <c r="AG72" i="3"/>
  <c r="AH72" i="3"/>
  <c r="AG73" i="3"/>
  <c r="AH73" i="3"/>
  <c r="AG74" i="3"/>
  <c r="AH74" i="3"/>
  <c r="AG75" i="3"/>
  <c r="AH75" i="3"/>
  <c r="AG76" i="3"/>
  <c r="AH76" i="3"/>
  <c r="AG77" i="3"/>
  <c r="AH77" i="3"/>
  <c r="AG78" i="3"/>
  <c r="AH78" i="3"/>
  <c r="AG79" i="3"/>
  <c r="AH79" i="3"/>
  <c r="AG80" i="3"/>
  <c r="AH80" i="3"/>
  <c r="AG81" i="3"/>
  <c r="AH81" i="3"/>
  <c r="AG82" i="3"/>
  <c r="AH82" i="3"/>
  <c r="AG83" i="3"/>
  <c r="AH83" i="3"/>
  <c r="AG84" i="3"/>
  <c r="AH84" i="3"/>
  <c r="AG85" i="3"/>
  <c r="AH85" i="3"/>
  <c r="AH86" i="3"/>
  <c r="AG87" i="3"/>
  <c r="AH87" i="3"/>
  <c r="AG88" i="3"/>
  <c r="AH88" i="3"/>
  <c r="AG89" i="3"/>
  <c r="AH89" i="3"/>
  <c r="AG90" i="3"/>
  <c r="AH90" i="3"/>
  <c r="AG91" i="3"/>
  <c r="AH91" i="3"/>
  <c r="AG92" i="3"/>
  <c r="AH92" i="3"/>
  <c r="AG93" i="3"/>
  <c r="AH93" i="3"/>
  <c r="AG94" i="3"/>
  <c r="AH94" i="3"/>
  <c r="AG95" i="3"/>
  <c r="AH95" i="3"/>
  <c r="AG96" i="3"/>
  <c r="AH96" i="3"/>
  <c r="AG97" i="3"/>
  <c r="AH97" i="3"/>
  <c r="AG98" i="3"/>
  <c r="AH98" i="3"/>
  <c r="AG99" i="3"/>
  <c r="AH99" i="3"/>
  <c r="AG100" i="3"/>
  <c r="AH100" i="3"/>
  <c r="AG101" i="3"/>
  <c r="AH101" i="3"/>
  <c r="AG102" i="3"/>
  <c r="AH102" i="3"/>
  <c r="AG103" i="3"/>
  <c r="AH103" i="3"/>
  <c r="AG104" i="3"/>
  <c r="AH104" i="3"/>
  <c r="AG105" i="3"/>
  <c r="AH105" i="3"/>
  <c r="AG106" i="3"/>
  <c r="AH106" i="3"/>
  <c r="AG107" i="3"/>
  <c r="AH107" i="3"/>
  <c r="AG108" i="3"/>
  <c r="AH108" i="3"/>
  <c r="AG109" i="3"/>
  <c r="AH109" i="3"/>
  <c r="AG110" i="3"/>
  <c r="AH110" i="3"/>
  <c r="AG111" i="3"/>
  <c r="AH111" i="3"/>
  <c r="AG112" i="3"/>
  <c r="AH112" i="3"/>
  <c r="AG113" i="3"/>
  <c r="AH113" i="3"/>
  <c r="AH114" i="3"/>
  <c r="AG115" i="3"/>
  <c r="AH115" i="3"/>
  <c r="AG116" i="3"/>
  <c r="AH116" i="3"/>
  <c r="AG117" i="3"/>
  <c r="AH117" i="3"/>
  <c r="AG118" i="3"/>
  <c r="AH118" i="3"/>
  <c r="AG119" i="3"/>
  <c r="AH119" i="3"/>
  <c r="AG120" i="3"/>
  <c r="AH120" i="3"/>
  <c r="AG121" i="3"/>
  <c r="AH121" i="3"/>
  <c r="AG122" i="3"/>
  <c r="AH122" i="3"/>
  <c r="AG123" i="3"/>
  <c r="AH123" i="3"/>
  <c r="AG124" i="3"/>
  <c r="AH124" i="3"/>
  <c r="AG125" i="3"/>
  <c r="AH125" i="3"/>
  <c r="AG126" i="3"/>
  <c r="AH126" i="3"/>
  <c r="AG127" i="3"/>
  <c r="AH127" i="3"/>
  <c r="AG128" i="3"/>
  <c r="AH128" i="3"/>
  <c r="AG129" i="3"/>
  <c r="AH129" i="3"/>
  <c r="AG130" i="3"/>
  <c r="AH130" i="3"/>
  <c r="AG131" i="3"/>
  <c r="AH131" i="3"/>
  <c r="AH132" i="3"/>
  <c r="AH133" i="3"/>
  <c r="AH134" i="3"/>
  <c r="AH135" i="3"/>
  <c r="AG136" i="3"/>
  <c r="AH136" i="3"/>
  <c r="AF137" i="3"/>
  <c r="AH137" i="3"/>
  <c r="AF138" i="3"/>
  <c r="AG138" i="3"/>
  <c r="AH138" i="3"/>
  <c r="AI138" i="3"/>
  <c r="AJ138" i="3"/>
  <c r="AK138" i="3"/>
  <c r="AF139" i="3"/>
  <c r="AH139" i="3"/>
  <c r="AF140" i="3"/>
  <c r="AG140" i="3"/>
  <c r="AH140" i="3"/>
  <c r="AI140" i="3"/>
  <c r="AJ140" i="3"/>
  <c r="AK140" i="3"/>
  <c r="AF141" i="3"/>
  <c r="AH141" i="3"/>
  <c r="AF143" i="3"/>
  <c r="AG143" i="3"/>
  <c r="AH143" i="3"/>
  <c r="AI143" i="3"/>
  <c r="AJ143" i="3"/>
  <c r="AK143" i="3"/>
  <c r="AF144" i="3"/>
  <c r="AH144" i="3"/>
  <c r="AF145" i="3"/>
  <c r="AG145" i="3"/>
  <c r="AH145" i="3"/>
  <c r="AI145" i="3"/>
  <c r="AJ145" i="3"/>
  <c r="AK145" i="3"/>
  <c r="AF146" i="3"/>
  <c r="AH146" i="3"/>
  <c r="AF150" i="3"/>
  <c r="AG150" i="3"/>
  <c r="AH150" i="3"/>
  <c r="AI150" i="3"/>
  <c r="AJ150" i="3"/>
  <c r="AK150" i="3"/>
  <c r="AF151" i="3"/>
  <c r="AH151" i="3"/>
  <c r="AF152" i="3"/>
  <c r="AG152" i="3"/>
  <c r="AH152" i="3"/>
  <c r="AI152" i="3"/>
  <c r="AJ152" i="3"/>
  <c r="AK152" i="3"/>
  <c r="AF153" i="3"/>
  <c r="AH153" i="3"/>
  <c r="AF154" i="3"/>
  <c r="AG154" i="3"/>
  <c r="AH154" i="3"/>
  <c r="AI154" i="3"/>
  <c r="AJ154" i="3"/>
  <c r="AK154" i="3"/>
  <c r="AF155" i="3"/>
  <c r="AG155" i="3"/>
  <c r="AH155" i="3"/>
  <c r="AF156" i="3"/>
  <c r="AG156" i="3"/>
  <c r="AH156" i="3"/>
  <c r="AI156" i="3"/>
  <c r="AJ156" i="3"/>
  <c r="AK156" i="3"/>
  <c r="AF157" i="3"/>
  <c r="AG157" i="3"/>
  <c r="AH157" i="3"/>
  <c r="AF158" i="3"/>
  <c r="AG158" i="3"/>
  <c r="AH158" i="3"/>
  <c r="AI158" i="3"/>
  <c r="AJ158" i="3"/>
  <c r="AK158" i="3"/>
  <c r="AF159" i="3"/>
  <c r="AG159" i="3"/>
  <c r="AH159" i="3"/>
  <c r="AF163" i="3"/>
  <c r="AG163" i="3"/>
  <c r="AH163" i="3"/>
  <c r="AI163" i="3"/>
  <c r="AJ163" i="3"/>
  <c r="AK163" i="3"/>
  <c r="AF164" i="3"/>
  <c r="AG164" i="3"/>
  <c r="AH164" i="3"/>
  <c r="AF166" i="3"/>
  <c r="AG166" i="3"/>
  <c r="AH166" i="3"/>
  <c r="AI166" i="3"/>
  <c r="AJ166" i="3"/>
  <c r="AK166" i="3"/>
  <c r="AF167" i="3"/>
  <c r="AG167" i="3"/>
  <c r="AH167" i="3"/>
  <c r="AF171" i="3"/>
  <c r="AG171" i="3"/>
  <c r="AH171" i="3"/>
  <c r="AI171" i="3"/>
  <c r="AJ171" i="3"/>
  <c r="AK171" i="3"/>
  <c r="AF172" i="3"/>
  <c r="AH172" i="3"/>
  <c r="AF173" i="3"/>
  <c r="AG173" i="3"/>
  <c r="AH173" i="3"/>
  <c r="AI173" i="3"/>
  <c r="AJ173" i="3"/>
  <c r="AK173" i="3"/>
  <c r="AF174" i="3"/>
  <c r="AH174" i="3"/>
  <c r="AF176" i="3"/>
  <c r="AG176" i="3"/>
  <c r="AH176" i="3"/>
  <c r="AI176" i="3"/>
  <c r="AJ176" i="3"/>
  <c r="AK176" i="3"/>
  <c r="AF177" i="3"/>
  <c r="AG177" i="3"/>
  <c r="AH177" i="3"/>
  <c r="AF178" i="3"/>
  <c r="AG178" i="3"/>
  <c r="AH178" i="3"/>
  <c r="AI178" i="3"/>
  <c r="AJ178" i="3"/>
  <c r="AK178" i="3"/>
  <c r="AF179" i="3"/>
  <c r="AH179" i="3"/>
  <c r="AF180" i="3"/>
  <c r="AG180" i="3"/>
  <c r="AH180" i="3"/>
  <c r="AI180" i="3"/>
  <c r="AJ180" i="3"/>
  <c r="AK180" i="3"/>
  <c r="AF181" i="3"/>
  <c r="AH181" i="3"/>
  <c r="AF182" i="3"/>
  <c r="AG182" i="3"/>
  <c r="AH182" i="3"/>
  <c r="AI182" i="3"/>
  <c r="AJ182" i="3"/>
  <c r="AK182" i="3"/>
  <c r="AF183" i="3"/>
  <c r="AH183" i="3"/>
  <c r="AF184" i="3"/>
  <c r="AG184" i="3"/>
  <c r="AH184" i="3"/>
  <c r="AI184" i="3"/>
  <c r="AJ184" i="3"/>
  <c r="AK184" i="3"/>
  <c r="AF185" i="3"/>
  <c r="AH185" i="3"/>
  <c r="AF186" i="3"/>
  <c r="AG186" i="3"/>
  <c r="AH186" i="3"/>
  <c r="AI186" i="3"/>
  <c r="AJ186" i="3"/>
  <c r="AK186" i="3"/>
  <c r="AF187" i="3"/>
  <c r="AH187" i="3"/>
  <c r="AF188" i="3"/>
  <c r="AG188" i="3"/>
  <c r="AH188" i="3"/>
  <c r="AI188" i="3"/>
  <c r="AJ188" i="3"/>
  <c r="AK188" i="3"/>
  <c r="AF189" i="3"/>
  <c r="AH189" i="3"/>
  <c r="AF190" i="3"/>
  <c r="AG190" i="3"/>
  <c r="AH190" i="3"/>
  <c r="AI190" i="3"/>
  <c r="AJ190" i="3"/>
  <c r="AK190" i="3"/>
  <c r="AF191" i="3"/>
  <c r="AH191" i="3"/>
  <c r="AF194" i="3"/>
  <c r="AG194" i="3"/>
  <c r="AH194" i="3"/>
  <c r="AI194" i="3"/>
  <c r="AJ194" i="3"/>
  <c r="AK194" i="3"/>
  <c r="AF195" i="3"/>
  <c r="AH195" i="3"/>
  <c r="AF196" i="3"/>
  <c r="AG196" i="3"/>
  <c r="AH196" i="3"/>
  <c r="AI196" i="3"/>
  <c r="AJ196" i="3"/>
  <c r="AK196" i="3"/>
  <c r="AF197" i="3"/>
  <c r="AH197" i="3"/>
  <c r="AF198" i="3"/>
  <c r="AG198" i="3"/>
  <c r="AH198" i="3"/>
  <c r="AI198" i="3"/>
  <c r="AJ198" i="3"/>
  <c r="AK198" i="3"/>
  <c r="AF199" i="3"/>
  <c r="AH199" i="3"/>
  <c r="AF202" i="3"/>
  <c r="AG202" i="3"/>
  <c r="AH202" i="3"/>
  <c r="AI202" i="3"/>
  <c r="AJ202" i="3"/>
  <c r="AK202" i="3"/>
  <c r="AF203" i="3"/>
  <c r="AH203" i="3"/>
  <c r="AF205" i="3"/>
  <c r="AG205" i="3"/>
  <c r="AH205" i="3"/>
  <c r="AI205" i="3"/>
  <c r="AJ205" i="3"/>
  <c r="AK205" i="3"/>
  <c r="AF206" i="3"/>
  <c r="AH206" i="3"/>
  <c r="AF207" i="3"/>
  <c r="AG207" i="3"/>
  <c r="AH207" i="3"/>
  <c r="AI207" i="3"/>
  <c r="AJ207" i="3"/>
  <c r="AK207" i="3"/>
  <c r="AF208" i="3"/>
  <c r="AH208" i="3"/>
  <c r="AF209" i="3"/>
  <c r="AG209" i="3"/>
  <c r="AH209" i="3"/>
  <c r="AI209" i="3"/>
  <c r="AJ209" i="3"/>
  <c r="AK209" i="3"/>
  <c r="AF210" i="3"/>
  <c r="AH210" i="3"/>
  <c r="AF211" i="3"/>
  <c r="AG211" i="3"/>
  <c r="AH211" i="3"/>
  <c r="AI211" i="3"/>
  <c r="AJ211" i="3"/>
  <c r="AK211" i="3"/>
  <c r="AF212" i="3"/>
  <c r="AH212" i="3"/>
  <c r="AF213" i="3"/>
  <c r="AG213" i="3"/>
  <c r="AH213" i="3"/>
  <c r="AI213" i="3"/>
  <c r="AJ213" i="3"/>
  <c r="AK213" i="3"/>
  <c r="AF214" i="3"/>
  <c r="AH214" i="3"/>
  <c r="AF218" i="3"/>
  <c r="AG218" i="3"/>
  <c r="AH218" i="3"/>
  <c r="AI218" i="3"/>
  <c r="AJ218" i="3"/>
  <c r="AK218" i="3"/>
  <c r="AF219" i="3"/>
  <c r="AH219" i="3"/>
  <c r="AF220" i="3"/>
  <c r="AG220" i="3"/>
  <c r="AH220" i="3"/>
  <c r="AI220" i="3"/>
  <c r="AJ220" i="3"/>
  <c r="AK220" i="3"/>
  <c r="AF221" i="3"/>
  <c r="AH221" i="3"/>
  <c r="AF222" i="3"/>
  <c r="AG222" i="3"/>
  <c r="AH222" i="3"/>
  <c r="AI222" i="3"/>
  <c r="AJ222" i="3"/>
  <c r="AK222" i="3"/>
  <c r="AF223" i="3"/>
  <c r="AG223" i="3"/>
  <c r="AH223" i="3"/>
  <c r="AI223" i="3"/>
  <c r="AJ223" i="3"/>
  <c r="AK223" i="3"/>
  <c r="AF225" i="3"/>
  <c r="AG225" i="3"/>
  <c r="AH225" i="3"/>
  <c r="AI225" i="3"/>
  <c r="AJ225" i="3"/>
  <c r="AK225" i="3"/>
  <c r="AF226" i="3"/>
  <c r="AG226" i="3"/>
  <c r="AH226" i="3"/>
  <c r="AI226" i="3"/>
  <c r="AJ226" i="3"/>
  <c r="AK226" i="3"/>
  <c r="AF227" i="3"/>
  <c r="AG227" i="3"/>
  <c r="AH227" i="3"/>
  <c r="AI227" i="3"/>
  <c r="AJ227" i="3"/>
  <c r="AK227" i="3"/>
  <c r="AF228" i="3"/>
  <c r="AG228" i="3"/>
  <c r="AH228" i="3"/>
  <c r="AI228" i="3"/>
  <c r="AJ228" i="3"/>
  <c r="AK228" i="3"/>
  <c r="AF229" i="3"/>
  <c r="AG229" i="3"/>
  <c r="AH229" i="3"/>
  <c r="AI229" i="3"/>
  <c r="AJ229" i="3"/>
  <c r="AK229" i="3"/>
  <c r="AF230" i="3"/>
  <c r="AG230" i="3"/>
  <c r="AH230" i="3"/>
  <c r="AI230" i="3"/>
  <c r="AJ230" i="3"/>
  <c r="AK230" i="3"/>
  <c r="AF231" i="3"/>
  <c r="AG231" i="3"/>
  <c r="AH231" i="3"/>
  <c r="AI231" i="3"/>
  <c r="AJ231" i="3"/>
  <c r="AK231" i="3"/>
  <c r="AF232" i="3"/>
  <c r="AG232" i="3"/>
  <c r="AH232" i="3"/>
  <c r="AI232" i="3"/>
  <c r="AJ232" i="3"/>
  <c r="AK232" i="3"/>
  <c r="AF233" i="3"/>
  <c r="AG233" i="3"/>
  <c r="AH233" i="3"/>
  <c r="AI233" i="3"/>
  <c r="AJ233" i="3"/>
  <c r="AK233" i="3"/>
  <c r="AF236" i="3"/>
  <c r="AG236" i="3"/>
  <c r="AH236" i="3"/>
  <c r="AI236" i="3"/>
  <c r="AJ236" i="3"/>
  <c r="AK236" i="3"/>
  <c r="AF237" i="3"/>
  <c r="AG237" i="3"/>
  <c r="AH237" i="3"/>
  <c r="AI237" i="3"/>
  <c r="AJ237" i="3"/>
  <c r="AK237" i="3"/>
  <c r="AF239" i="3"/>
  <c r="AG239" i="3"/>
  <c r="AH239" i="3"/>
  <c r="AI239" i="3"/>
  <c r="AJ239" i="3"/>
  <c r="AK239" i="3"/>
  <c r="AF241" i="3"/>
  <c r="AG241" i="3"/>
  <c r="AH241" i="3"/>
  <c r="AI241" i="3"/>
  <c r="AJ241" i="3"/>
  <c r="AK241" i="3"/>
  <c r="AF245" i="3"/>
  <c r="AG245" i="3"/>
  <c r="AH245" i="3"/>
  <c r="AI245" i="3"/>
  <c r="AJ245" i="3"/>
  <c r="AK245" i="3"/>
  <c r="AF247" i="3"/>
  <c r="AG247" i="3"/>
  <c r="AH247" i="3"/>
  <c r="AI247" i="3"/>
  <c r="AJ247" i="3"/>
  <c r="AK247" i="3"/>
  <c r="AF248" i="3"/>
  <c r="AG248" i="3"/>
  <c r="AH248" i="3"/>
  <c r="AI248" i="3"/>
  <c r="AJ248" i="3"/>
  <c r="AK248" i="3"/>
  <c r="AF249" i="3"/>
  <c r="AG249" i="3"/>
  <c r="AH249" i="3"/>
  <c r="AI249" i="3"/>
  <c r="AJ249" i="3"/>
  <c r="AK249" i="3"/>
  <c r="AF252" i="3"/>
  <c r="AG252" i="3"/>
  <c r="AH252" i="3"/>
  <c r="AI252" i="3"/>
  <c r="AJ252" i="3"/>
  <c r="AK252" i="3"/>
  <c r="AF253" i="3"/>
  <c r="AG253" i="3"/>
  <c r="AH253" i="3"/>
  <c r="AI253" i="3"/>
  <c r="AJ253" i="3"/>
  <c r="AK253" i="3"/>
  <c r="AF256" i="3"/>
  <c r="AG256" i="3"/>
  <c r="AH256" i="3"/>
  <c r="AI256" i="3"/>
  <c r="AJ256" i="3"/>
  <c r="AK256" i="3"/>
  <c r="AF257" i="3"/>
  <c r="AG257" i="3"/>
  <c r="AH257" i="3"/>
  <c r="AI257" i="3"/>
  <c r="AJ257" i="3"/>
  <c r="AK257" i="3"/>
  <c r="AF258" i="3"/>
  <c r="AG258" i="3"/>
  <c r="AH258" i="3"/>
  <c r="AI258" i="3"/>
  <c r="AJ258" i="3"/>
  <c r="AK258" i="3"/>
  <c r="AF261" i="3"/>
  <c r="AG261" i="3"/>
  <c r="AH261" i="3"/>
  <c r="AI261" i="3"/>
  <c r="AJ261" i="3"/>
  <c r="AK261" i="3"/>
  <c r="AF263" i="3"/>
  <c r="AG263" i="3"/>
  <c r="AH263" i="3"/>
  <c r="AI263" i="3"/>
  <c r="AJ263" i="3"/>
  <c r="AK263" i="3"/>
  <c r="AF265" i="3"/>
  <c r="AG265" i="3"/>
  <c r="AH265" i="3"/>
  <c r="AI265" i="3"/>
  <c r="AJ265" i="3"/>
  <c r="AK265" i="3"/>
  <c r="AF267" i="3"/>
  <c r="AG267" i="3"/>
  <c r="AH267" i="3"/>
  <c r="AI267" i="3"/>
  <c r="AJ267" i="3"/>
  <c r="AK267" i="3"/>
  <c r="AF268" i="3"/>
  <c r="AG268" i="3"/>
  <c r="AH268" i="3"/>
  <c r="AI268" i="3"/>
  <c r="AJ268" i="3"/>
  <c r="AK268" i="3"/>
  <c r="AF271" i="3"/>
  <c r="AG271" i="3"/>
  <c r="AH271" i="3"/>
  <c r="AI271" i="3"/>
  <c r="AJ271" i="3"/>
  <c r="AK271" i="3"/>
  <c r="AF272" i="3"/>
  <c r="AG272" i="3"/>
  <c r="AH272" i="3"/>
  <c r="AI272" i="3"/>
  <c r="AJ272" i="3"/>
  <c r="AK272" i="3"/>
  <c r="AF273" i="3"/>
  <c r="AG273" i="3"/>
  <c r="AH273" i="3"/>
  <c r="AI273" i="3"/>
  <c r="AJ273" i="3"/>
  <c r="AK273" i="3"/>
  <c r="AF274" i="3"/>
  <c r="AG274" i="3"/>
  <c r="AH274" i="3"/>
  <c r="AI274" i="3"/>
  <c r="AJ274" i="3"/>
  <c r="AK274" i="3"/>
  <c r="AF276" i="3"/>
  <c r="AG276" i="3"/>
  <c r="AH276" i="3"/>
  <c r="AI276" i="3"/>
  <c r="AJ276" i="3"/>
  <c r="AK276" i="3"/>
  <c r="AF277" i="3"/>
  <c r="AG277" i="3"/>
  <c r="AH277" i="3"/>
  <c r="AI277" i="3"/>
  <c r="AJ277" i="3"/>
  <c r="AK277" i="3"/>
  <c r="AF278" i="3"/>
  <c r="AG278" i="3"/>
  <c r="AH278" i="3"/>
  <c r="AI278" i="3"/>
  <c r="AJ278" i="3"/>
  <c r="AK278" i="3"/>
  <c r="AG279" i="3"/>
  <c r="AH279" i="3"/>
  <c r="AI279" i="3"/>
  <c r="AJ279" i="3"/>
  <c r="AK279" i="3"/>
  <c r="AF280" i="3"/>
  <c r="AG280" i="3"/>
  <c r="AH280" i="3"/>
  <c r="AI280" i="3"/>
  <c r="AJ280" i="3"/>
  <c r="AK280" i="3"/>
  <c r="AF281" i="3"/>
  <c r="AG281" i="3"/>
  <c r="AH281" i="3"/>
  <c r="AI281" i="3"/>
  <c r="AJ281" i="3"/>
  <c r="AK281" i="3"/>
  <c r="AF282" i="3"/>
  <c r="AG282" i="3"/>
  <c r="AH282" i="3"/>
  <c r="AI282" i="3"/>
  <c r="AJ282" i="3"/>
  <c r="AK282" i="3"/>
  <c r="AF284" i="3"/>
  <c r="AG284" i="3"/>
  <c r="AH284" i="3"/>
  <c r="AI284" i="3"/>
  <c r="AJ284" i="3"/>
  <c r="AK284" i="3"/>
  <c r="AF285" i="3"/>
  <c r="AG285" i="3"/>
  <c r="AH285" i="3"/>
  <c r="AI285" i="3"/>
  <c r="AJ285" i="3"/>
  <c r="AK285" i="3"/>
  <c r="AF286" i="3"/>
  <c r="AG286" i="3"/>
  <c r="AH286" i="3"/>
  <c r="AI286" i="3"/>
  <c r="AJ286" i="3"/>
  <c r="AK286" i="3"/>
  <c r="AF287" i="3"/>
  <c r="AG287" i="3"/>
  <c r="AH287" i="3"/>
  <c r="AI287" i="3"/>
  <c r="AJ287" i="3"/>
  <c r="AK287" i="3"/>
  <c r="AF288" i="3"/>
  <c r="AG288" i="3"/>
  <c r="AH288" i="3"/>
  <c r="AI288" i="3"/>
  <c r="AJ288" i="3"/>
  <c r="AK288" i="3"/>
  <c r="AF289" i="3"/>
  <c r="AG289" i="3"/>
  <c r="AH289" i="3"/>
  <c r="AI289" i="3"/>
  <c r="AJ289" i="3"/>
  <c r="AK289" i="3"/>
  <c r="AF291" i="3"/>
  <c r="AG291" i="3"/>
  <c r="AH291" i="3"/>
  <c r="AI291" i="3"/>
  <c r="AJ291" i="3"/>
  <c r="AK291" i="3"/>
  <c r="AF292" i="3"/>
  <c r="AG292" i="3"/>
  <c r="AH292" i="3"/>
  <c r="AI292" i="3"/>
  <c r="AJ292" i="3"/>
  <c r="AK292" i="3"/>
  <c r="AF294" i="3"/>
  <c r="AG294" i="3"/>
  <c r="AH294" i="3"/>
  <c r="AI294" i="3"/>
  <c r="AJ294" i="3"/>
  <c r="AK294" i="3"/>
  <c r="AF295" i="3"/>
  <c r="AG295" i="3"/>
  <c r="AH295" i="3"/>
  <c r="AI295" i="3"/>
  <c r="AJ295" i="3"/>
  <c r="AK295" i="3"/>
  <c r="AF297" i="3"/>
  <c r="AG297" i="3"/>
  <c r="AH297" i="3"/>
  <c r="AI297" i="3"/>
  <c r="AJ297" i="3"/>
  <c r="AK297" i="3"/>
  <c r="AF298" i="3"/>
  <c r="AG298" i="3"/>
  <c r="AH298" i="3"/>
  <c r="AI298" i="3"/>
  <c r="AJ298" i="3"/>
  <c r="AK298" i="3"/>
  <c r="AF299" i="3"/>
  <c r="AG299" i="3"/>
  <c r="AH299" i="3"/>
  <c r="AI299" i="3"/>
  <c r="AJ299" i="3"/>
  <c r="AK299" i="3"/>
  <c r="AF300" i="3"/>
  <c r="AG300" i="3"/>
  <c r="AH300" i="3"/>
  <c r="AI300" i="3"/>
  <c r="AJ300" i="3"/>
  <c r="AK300" i="3"/>
  <c r="AF301" i="3"/>
  <c r="AG301" i="3"/>
  <c r="AH301" i="3"/>
  <c r="AI301" i="3"/>
  <c r="AJ301" i="3"/>
  <c r="AK301" i="3"/>
  <c r="AF302" i="3"/>
  <c r="AG302" i="3"/>
  <c r="AH302" i="3"/>
  <c r="AI302" i="3"/>
  <c r="AJ302" i="3"/>
  <c r="AK302" i="3"/>
  <c r="AF303" i="3"/>
  <c r="AG303" i="3"/>
  <c r="AH303" i="3"/>
  <c r="AI303" i="3"/>
  <c r="AJ303" i="3"/>
  <c r="AK303" i="3"/>
  <c r="AF305" i="3"/>
  <c r="AG305" i="3"/>
  <c r="AH305" i="3"/>
  <c r="AI305" i="3"/>
  <c r="AJ305" i="3"/>
  <c r="AK305" i="3"/>
  <c r="AF306" i="3"/>
  <c r="AG306" i="3"/>
  <c r="AH306" i="3"/>
  <c r="AI306" i="3"/>
  <c r="AJ306" i="3"/>
  <c r="AK306" i="3"/>
  <c r="AF308" i="3"/>
  <c r="AG308" i="3"/>
  <c r="AH308" i="3"/>
  <c r="AI308" i="3"/>
  <c r="AJ308" i="3"/>
  <c r="AK308" i="3"/>
  <c r="AF309" i="3"/>
  <c r="AG309" i="3"/>
  <c r="AH309" i="3"/>
  <c r="AI309" i="3"/>
  <c r="AJ309" i="3"/>
  <c r="AK309" i="3"/>
  <c r="AF310" i="3"/>
  <c r="AG310" i="3"/>
  <c r="AH310" i="3"/>
  <c r="AI310" i="3"/>
  <c r="AJ310" i="3"/>
  <c r="AK310" i="3"/>
  <c r="AF311" i="3"/>
  <c r="AG311" i="3"/>
  <c r="AH311" i="3"/>
  <c r="AI311" i="3"/>
  <c r="AJ311" i="3"/>
  <c r="AK311" i="3"/>
  <c r="AF313" i="3"/>
  <c r="AG313" i="3"/>
  <c r="AH313" i="3"/>
  <c r="AI313" i="3"/>
  <c r="AJ313" i="3"/>
  <c r="AK313" i="3"/>
  <c r="AF314" i="3"/>
  <c r="AG314" i="3"/>
  <c r="AH314" i="3"/>
  <c r="AI314" i="3"/>
  <c r="AJ314" i="3"/>
  <c r="AK314" i="3"/>
  <c r="AF315" i="3"/>
  <c r="AG315" i="3"/>
  <c r="AH315" i="3"/>
  <c r="AI315" i="3"/>
  <c r="AJ315" i="3"/>
  <c r="AK315" i="3"/>
  <c r="AF316" i="3"/>
  <c r="AG316" i="3"/>
  <c r="AH316" i="3"/>
  <c r="AI316" i="3"/>
  <c r="AJ316" i="3"/>
  <c r="AK316" i="3"/>
  <c r="AF317" i="3"/>
  <c r="AG317" i="3"/>
  <c r="AH317" i="3"/>
  <c r="AI317" i="3"/>
  <c r="AJ317" i="3"/>
  <c r="AK317" i="3"/>
  <c r="AF320" i="3"/>
  <c r="AG320" i="3"/>
  <c r="AH320" i="3"/>
  <c r="AI320" i="3"/>
  <c r="AJ320" i="3"/>
  <c r="AK320" i="3"/>
  <c r="AF321" i="3"/>
  <c r="AG321" i="3"/>
  <c r="AH321" i="3"/>
  <c r="AI321" i="3"/>
  <c r="AJ321" i="3"/>
  <c r="AK321" i="3"/>
  <c r="AF323" i="3"/>
  <c r="AG323" i="3"/>
  <c r="AH323" i="3"/>
  <c r="AI323" i="3"/>
  <c r="AJ323" i="3"/>
  <c r="AK323" i="3"/>
  <c r="AF325" i="3"/>
  <c r="AG325" i="3"/>
  <c r="AH325" i="3"/>
  <c r="AI325" i="3"/>
  <c r="AJ325" i="3"/>
  <c r="AK325" i="3"/>
  <c r="AF326" i="3"/>
  <c r="AG326" i="3"/>
  <c r="AH326" i="3"/>
  <c r="AI326" i="3"/>
  <c r="AJ326" i="3"/>
  <c r="AK326" i="3"/>
  <c r="AF327" i="3"/>
  <c r="AG327" i="3"/>
  <c r="AH327" i="3"/>
  <c r="AI327" i="3"/>
  <c r="AJ327" i="3"/>
  <c r="AK327" i="3"/>
  <c r="AF328" i="3"/>
  <c r="AG328" i="3"/>
  <c r="AH328" i="3"/>
  <c r="AI328" i="3"/>
  <c r="AJ328" i="3"/>
  <c r="AK328" i="3"/>
  <c r="AF329" i="3"/>
  <c r="AG329" i="3"/>
  <c r="AH329" i="3"/>
  <c r="AI329" i="3"/>
  <c r="AJ329" i="3"/>
  <c r="AK329" i="3"/>
  <c r="AF330" i="3"/>
  <c r="AG330" i="3"/>
  <c r="AH330" i="3"/>
  <c r="AI330" i="3"/>
  <c r="AJ330" i="3"/>
  <c r="AK330" i="3"/>
  <c r="AF333" i="3"/>
  <c r="AG333" i="3"/>
  <c r="AH333" i="3"/>
  <c r="AI333" i="3"/>
  <c r="AJ333" i="3"/>
  <c r="AK333" i="3"/>
  <c r="AF334" i="3"/>
  <c r="AG334" i="3"/>
  <c r="AH334" i="3"/>
  <c r="AI334" i="3"/>
  <c r="AJ334" i="3"/>
  <c r="AK334" i="3"/>
  <c r="AF335" i="3"/>
  <c r="AG335" i="3"/>
  <c r="AH335" i="3"/>
  <c r="AI335" i="3"/>
  <c r="AJ335" i="3"/>
  <c r="AK335" i="3"/>
  <c r="AF338" i="3"/>
  <c r="AG338" i="3"/>
  <c r="AH338" i="3"/>
  <c r="AI338" i="3"/>
  <c r="AJ338" i="3"/>
  <c r="AK338" i="3"/>
  <c r="AF339" i="3"/>
  <c r="AG339" i="3"/>
  <c r="AH339" i="3"/>
  <c r="AI339" i="3"/>
  <c r="AJ339" i="3"/>
  <c r="AK339" i="3"/>
  <c r="AF340" i="3"/>
  <c r="AG340" i="3"/>
  <c r="AH340" i="3"/>
  <c r="AI340" i="3"/>
  <c r="AJ340" i="3"/>
  <c r="AK340" i="3"/>
  <c r="AF341" i="3"/>
  <c r="AG341" i="3"/>
  <c r="AH341" i="3"/>
  <c r="AI341" i="3"/>
  <c r="AJ341" i="3"/>
  <c r="AK341" i="3"/>
  <c r="AF343" i="3"/>
  <c r="AG343" i="3"/>
  <c r="AH343" i="3"/>
  <c r="AI343" i="3"/>
  <c r="AJ343" i="3"/>
  <c r="AK343" i="3"/>
  <c r="AF344" i="3"/>
  <c r="AG344" i="3"/>
  <c r="AH344" i="3"/>
  <c r="AI344" i="3"/>
  <c r="AJ344" i="3"/>
  <c r="AK344" i="3"/>
  <c r="AF345" i="3"/>
  <c r="AG345" i="3"/>
  <c r="AH345" i="3"/>
  <c r="AI345" i="3"/>
  <c r="AJ345" i="3"/>
  <c r="AK345" i="3"/>
  <c r="AF346" i="3"/>
  <c r="AG346" i="3"/>
  <c r="AH346" i="3"/>
  <c r="AI346" i="3"/>
  <c r="AJ346" i="3"/>
  <c r="AK346" i="3"/>
  <c r="B138" i="3"/>
  <c r="C138" i="3"/>
  <c r="B139" i="3"/>
  <c r="C139" i="3"/>
  <c r="F139" i="3"/>
  <c r="AI139" i="3" s="1"/>
  <c r="J139" i="3"/>
  <c r="AQ139" i="3" s="1"/>
  <c r="Y139" i="3"/>
  <c r="Z139" i="3"/>
  <c r="AC139" i="3"/>
  <c r="AD139" i="3"/>
  <c r="AM139" i="3"/>
  <c r="AN139" i="3"/>
  <c r="AO139" i="3"/>
  <c r="AP139" i="3"/>
  <c r="B140" i="3"/>
  <c r="C140" i="3"/>
  <c r="B141" i="3"/>
  <c r="C141" i="3"/>
  <c r="F141" i="3"/>
  <c r="AI141" i="3" s="1"/>
  <c r="J141" i="3"/>
  <c r="AQ141" i="3" s="1"/>
  <c r="Y141" i="3"/>
  <c r="Z141" i="3"/>
  <c r="AC141" i="3"/>
  <c r="AD141" i="3"/>
  <c r="AM141" i="3"/>
  <c r="AN141" i="3"/>
  <c r="AO141" i="3"/>
  <c r="AP141" i="3"/>
  <c r="F144" i="3"/>
  <c r="J144" i="3"/>
  <c r="AQ144" i="3" s="1"/>
  <c r="Y144" i="3"/>
  <c r="Z144" i="3"/>
  <c r="AC144" i="3"/>
  <c r="AD144" i="3"/>
  <c r="AM144" i="3"/>
  <c r="AN144" i="3"/>
  <c r="AO144" i="3"/>
  <c r="AP144" i="3"/>
  <c r="F146" i="3"/>
  <c r="AI146" i="3" s="1"/>
  <c r="J146" i="3"/>
  <c r="AE146" i="3" s="1"/>
  <c r="Y146" i="3"/>
  <c r="Z146" i="3"/>
  <c r="AC146" i="3"/>
  <c r="AD146" i="3"/>
  <c r="AM146" i="3"/>
  <c r="AN146" i="3"/>
  <c r="AO146" i="3"/>
  <c r="AP146" i="3"/>
  <c r="F151" i="3"/>
  <c r="AI151" i="3" s="1"/>
  <c r="J151" i="3"/>
  <c r="AE151" i="3" s="1"/>
  <c r="Y151" i="3"/>
  <c r="Z151" i="3"/>
  <c r="AC151" i="3"/>
  <c r="AD151" i="3"/>
  <c r="AM151" i="3"/>
  <c r="AN151" i="3"/>
  <c r="AO151" i="3"/>
  <c r="AP151" i="3"/>
  <c r="F153" i="3"/>
  <c r="AI153" i="3" s="1"/>
  <c r="J153" i="3"/>
  <c r="AQ153" i="3" s="1"/>
  <c r="Y153" i="3"/>
  <c r="Z153" i="3"/>
  <c r="AC153" i="3"/>
  <c r="AD153" i="3"/>
  <c r="AM153" i="3"/>
  <c r="AN153" i="3"/>
  <c r="AO153" i="3"/>
  <c r="AP153" i="3"/>
  <c r="F155" i="3"/>
  <c r="AJ155" i="3" s="1"/>
  <c r="J155" i="3"/>
  <c r="AE155" i="3" s="1"/>
  <c r="Y155" i="3"/>
  <c r="Z155" i="3"/>
  <c r="AC155" i="3"/>
  <c r="AD155" i="3"/>
  <c r="AM155" i="3"/>
  <c r="AN155" i="3"/>
  <c r="AO155" i="3"/>
  <c r="AP155" i="3"/>
  <c r="F157" i="3"/>
  <c r="AK157" i="3" s="1"/>
  <c r="J157" i="3"/>
  <c r="AE157" i="3" s="1"/>
  <c r="Y157" i="3"/>
  <c r="Z157" i="3"/>
  <c r="AC157" i="3"/>
  <c r="AD157" i="3"/>
  <c r="AM157" i="3"/>
  <c r="AN157" i="3"/>
  <c r="AO157" i="3"/>
  <c r="AP157" i="3"/>
  <c r="F159" i="3"/>
  <c r="AJ159" i="3" s="1"/>
  <c r="J159" i="3"/>
  <c r="AE159" i="3" s="1"/>
  <c r="Y159" i="3"/>
  <c r="Z159" i="3"/>
  <c r="AC159" i="3"/>
  <c r="AD159" i="3"/>
  <c r="AM159" i="3"/>
  <c r="AN159" i="3"/>
  <c r="AO159" i="3"/>
  <c r="AP159" i="3"/>
  <c r="F164" i="3"/>
  <c r="AK164" i="3" s="1"/>
  <c r="J164" i="3"/>
  <c r="AE164" i="3" s="1"/>
  <c r="Y164" i="3"/>
  <c r="Z164" i="3"/>
  <c r="AC164" i="3"/>
  <c r="AD164" i="3"/>
  <c r="AM164" i="3"/>
  <c r="AN164" i="3"/>
  <c r="AO164" i="3"/>
  <c r="AP164" i="3"/>
  <c r="F167" i="3"/>
  <c r="AI167" i="3" s="1"/>
  <c r="J167" i="3"/>
  <c r="AE167" i="3" s="1"/>
  <c r="Y167" i="3"/>
  <c r="Z167" i="3"/>
  <c r="AC167" i="3"/>
  <c r="AD167" i="3"/>
  <c r="AM167" i="3"/>
  <c r="AN167" i="3"/>
  <c r="AO167" i="3"/>
  <c r="AP167" i="3"/>
  <c r="F172" i="3"/>
  <c r="J172" i="3"/>
  <c r="AQ172" i="3" s="1"/>
  <c r="Y172" i="3"/>
  <c r="Z172" i="3"/>
  <c r="AC172" i="3"/>
  <c r="AD172" i="3"/>
  <c r="AM172" i="3"/>
  <c r="AN172" i="3"/>
  <c r="AO172" i="3"/>
  <c r="AP172" i="3"/>
  <c r="F174" i="3"/>
  <c r="AJ174" i="3" s="1"/>
  <c r="J174" i="3"/>
  <c r="Y174" i="3"/>
  <c r="Z174" i="3"/>
  <c r="AC174" i="3"/>
  <c r="AD174" i="3"/>
  <c r="AM174" i="3"/>
  <c r="AN174" i="3"/>
  <c r="AO174" i="3"/>
  <c r="AP174" i="3"/>
  <c r="F177" i="3"/>
  <c r="AJ177" i="3" s="1"/>
  <c r="J177" i="3"/>
  <c r="AQ177" i="3" s="1"/>
  <c r="Y177" i="3"/>
  <c r="Z177" i="3"/>
  <c r="AC177" i="3"/>
  <c r="AD177" i="3"/>
  <c r="AM177" i="3"/>
  <c r="AN177" i="3"/>
  <c r="AO177" i="3"/>
  <c r="AP177" i="3"/>
  <c r="F179" i="3"/>
  <c r="AJ179" i="3" s="1"/>
  <c r="J179" i="3"/>
  <c r="AQ179" i="3" s="1"/>
  <c r="Y179" i="3"/>
  <c r="Z179" i="3"/>
  <c r="AC179" i="3"/>
  <c r="AD179" i="3"/>
  <c r="AM179" i="3"/>
  <c r="AN179" i="3"/>
  <c r="AO179" i="3"/>
  <c r="AP179" i="3"/>
  <c r="F181" i="3"/>
  <c r="AJ181" i="3" s="1"/>
  <c r="J181" i="3"/>
  <c r="AQ181" i="3" s="1"/>
  <c r="Y181" i="3"/>
  <c r="Z181" i="3"/>
  <c r="AC181" i="3"/>
  <c r="AD181" i="3"/>
  <c r="AM181" i="3"/>
  <c r="AN181" i="3"/>
  <c r="AO181" i="3"/>
  <c r="AP181" i="3"/>
  <c r="F183" i="3"/>
  <c r="AJ183" i="3" s="1"/>
  <c r="J183" i="3"/>
  <c r="AQ183" i="3" s="1"/>
  <c r="Y183" i="3"/>
  <c r="Z183" i="3"/>
  <c r="AC183" i="3"/>
  <c r="AD183" i="3"/>
  <c r="AM183" i="3"/>
  <c r="AN183" i="3"/>
  <c r="AO183" i="3"/>
  <c r="AP183" i="3"/>
  <c r="F185" i="3"/>
  <c r="J185" i="3"/>
  <c r="AE185" i="3" s="1"/>
  <c r="Y185" i="3"/>
  <c r="Z185" i="3"/>
  <c r="AC185" i="3"/>
  <c r="AD185" i="3"/>
  <c r="AM185" i="3"/>
  <c r="AN185" i="3"/>
  <c r="AO185" i="3"/>
  <c r="AP185" i="3"/>
  <c r="F187" i="3"/>
  <c r="AK187" i="3" s="1"/>
  <c r="J187" i="3"/>
  <c r="Y187" i="3"/>
  <c r="Z187" i="3"/>
  <c r="AC187" i="3"/>
  <c r="AD187" i="3"/>
  <c r="AM187" i="3"/>
  <c r="AN187" i="3"/>
  <c r="AO187" i="3"/>
  <c r="AP187" i="3"/>
  <c r="F189" i="3"/>
  <c r="AK189" i="3" s="1"/>
  <c r="J189" i="3"/>
  <c r="AE189" i="3" s="1"/>
  <c r="Y189" i="3"/>
  <c r="Z189" i="3"/>
  <c r="AC189" i="3"/>
  <c r="AD189" i="3"/>
  <c r="AM189" i="3"/>
  <c r="AN189" i="3"/>
  <c r="AO189" i="3"/>
  <c r="AP189" i="3"/>
  <c r="F191" i="3"/>
  <c r="J191" i="3"/>
  <c r="AE191" i="3" s="1"/>
  <c r="Y191" i="3"/>
  <c r="Z191" i="3"/>
  <c r="AC191" i="3"/>
  <c r="AD191" i="3"/>
  <c r="AM191" i="3"/>
  <c r="AN191" i="3"/>
  <c r="AO191" i="3"/>
  <c r="AP191" i="3"/>
  <c r="F195" i="3"/>
  <c r="AI195" i="3" s="1"/>
  <c r="J195" i="3"/>
  <c r="AE195" i="3" s="1"/>
  <c r="Y195" i="3"/>
  <c r="Z195" i="3"/>
  <c r="AC195" i="3"/>
  <c r="AD195" i="3"/>
  <c r="AM195" i="3"/>
  <c r="AN195" i="3"/>
  <c r="AO195" i="3"/>
  <c r="AP195" i="3"/>
  <c r="F197" i="3"/>
  <c r="AI197" i="3" s="1"/>
  <c r="J197" i="3"/>
  <c r="AE197" i="3" s="1"/>
  <c r="Y197" i="3"/>
  <c r="Z197" i="3"/>
  <c r="AC197" i="3"/>
  <c r="AD197" i="3"/>
  <c r="AM197" i="3"/>
  <c r="AN197" i="3"/>
  <c r="AO197" i="3"/>
  <c r="AP197" i="3"/>
  <c r="F199" i="3"/>
  <c r="J199" i="3"/>
  <c r="AE199" i="3" s="1"/>
  <c r="Y199" i="3"/>
  <c r="Z199" i="3"/>
  <c r="AC199" i="3"/>
  <c r="AD199" i="3"/>
  <c r="AM199" i="3"/>
  <c r="AN199" i="3"/>
  <c r="AO199" i="3"/>
  <c r="AP199" i="3"/>
  <c r="F203" i="3"/>
  <c r="AK203" i="3" s="1"/>
  <c r="J203" i="3"/>
  <c r="AE203" i="3" s="1"/>
  <c r="Y203" i="3"/>
  <c r="Z203" i="3"/>
  <c r="AC203" i="3"/>
  <c r="AD203" i="3"/>
  <c r="AM203" i="3"/>
  <c r="AN203" i="3"/>
  <c r="AO203" i="3"/>
  <c r="AP203" i="3"/>
  <c r="F206" i="3"/>
  <c r="AJ206" i="3" s="1"/>
  <c r="J206" i="3"/>
  <c r="AE206" i="3" s="1"/>
  <c r="Y206" i="3"/>
  <c r="Z206" i="3"/>
  <c r="AC206" i="3"/>
  <c r="AD206" i="3"/>
  <c r="AM206" i="3"/>
  <c r="AN206" i="3"/>
  <c r="AO206" i="3"/>
  <c r="AP206" i="3"/>
  <c r="F208" i="3"/>
  <c r="J208" i="3"/>
  <c r="AE208" i="3" s="1"/>
  <c r="Y208" i="3"/>
  <c r="Z208" i="3"/>
  <c r="AC208" i="3"/>
  <c r="AD208" i="3"/>
  <c r="AM208" i="3"/>
  <c r="AN208" i="3"/>
  <c r="AO208" i="3"/>
  <c r="AP208" i="3"/>
  <c r="F210" i="3"/>
  <c r="AK210" i="3" s="1"/>
  <c r="J210" i="3"/>
  <c r="AE210" i="3" s="1"/>
  <c r="Y210" i="3"/>
  <c r="Z210" i="3"/>
  <c r="AC210" i="3"/>
  <c r="AD210" i="3"/>
  <c r="AM210" i="3"/>
  <c r="AN210" i="3"/>
  <c r="AO210" i="3"/>
  <c r="AP210" i="3"/>
  <c r="F212" i="3"/>
  <c r="AI212" i="3" s="1"/>
  <c r="J212" i="3"/>
  <c r="AE212" i="3" s="1"/>
  <c r="Y212" i="3"/>
  <c r="Z212" i="3"/>
  <c r="AC212" i="3"/>
  <c r="AD212" i="3"/>
  <c r="AM212" i="3"/>
  <c r="AN212" i="3"/>
  <c r="AO212" i="3"/>
  <c r="AP212" i="3"/>
  <c r="F214" i="3"/>
  <c r="AI214" i="3" s="1"/>
  <c r="J214" i="3"/>
  <c r="AQ214" i="3" s="1"/>
  <c r="Y214" i="3"/>
  <c r="Z214" i="3"/>
  <c r="AC214" i="3"/>
  <c r="AD214" i="3"/>
  <c r="AM214" i="3"/>
  <c r="AN214" i="3"/>
  <c r="AO214" i="3"/>
  <c r="AP214" i="3"/>
  <c r="F219" i="3"/>
  <c r="J219" i="3"/>
  <c r="Y219" i="3"/>
  <c r="Z219" i="3"/>
  <c r="AC219" i="3"/>
  <c r="AD219" i="3"/>
  <c r="AM219" i="3"/>
  <c r="AN219" i="3"/>
  <c r="AO219" i="3"/>
  <c r="AP219" i="3"/>
  <c r="F221" i="3"/>
  <c r="J221" i="3"/>
  <c r="Y221" i="3"/>
  <c r="Z221" i="3"/>
  <c r="AC221" i="3"/>
  <c r="AD221" i="3"/>
  <c r="AM221" i="3"/>
  <c r="AN221" i="3"/>
  <c r="AO221" i="3"/>
  <c r="AP221" i="3"/>
  <c r="AK410" i="3" l="1"/>
  <c r="AL302" i="3"/>
  <c r="AQ146" i="3"/>
  <c r="AL252" i="3"/>
  <c r="AL223" i="3"/>
  <c r="AQ394" i="3"/>
  <c r="AI418" i="3"/>
  <c r="AL335" i="3"/>
  <c r="AK403" i="3"/>
  <c r="AL278" i="3"/>
  <c r="AL265" i="3"/>
  <c r="AJ360" i="3"/>
  <c r="AI355" i="3"/>
  <c r="AL338" i="3"/>
  <c r="AE354" i="3"/>
  <c r="AR354" i="3" s="1"/>
  <c r="AE144" i="3"/>
  <c r="AR144" i="3" s="1"/>
  <c r="AL339" i="3"/>
  <c r="AQ360" i="3"/>
  <c r="AL289" i="3"/>
  <c r="AI384" i="3"/>
  <c r="AJ384" i="3"/>
  <c r="AK390" i="3"/>
  <c r="AK419" i="3"/>
  <c r="AI390" i="3"/>
  <c r="AI419" i="3"/>
  <c r="AQ408" i="3"/>
  <c r="AQ203" i="3"/>
  <c r="AI157" i="3"/>
  <c r="AI403" i="3"/>
  <c r="AJ164" i="3"/>
  <c r="AI164" i="3"/>
  <c r="AK418" i="3"/>
  <c r="AI181" i="3"/>
  <c r="AJ157" i="3"/>
  <c r="AK146" i="3"/>
  <c r="AL346" i="3"/>
  <c r="AJ146" i="3"/>
  <c r="AJ353" i="3"/>
  <c r="AL163" i="3"/>
  <c r="AL143" i="3"/>
  <c r="AQ199" i="3"/>
  <c r="AI393" i="3"/>
  <c r="AK369" i="3"/>
  <c r="AB379" i="3"/>
  <c r="AL325" i="3"/>
  <c r="AL316" i="3"/>
  <c r="AB351" i="3"/>
  <c r="AI373" i="3"/>
  <c r="AJ392" i="3"/>
  <c r="AQ353" i="3"/>
  <c r="AL218" i="3"/>
  <c r="AR361" i="3"/>
  <c r="AK392" i="3"/>
  <c r="AL311" i="3"/>
  <c r="AL300" i="3"/>
  <c r="AL237" i="3"/>
  <c r="AL229" i="3"/>
  <c r="AJ210" i="3"/>
  <c r="AQ369" i="3"/>
  <c r="AK372" i="3"/>
  <c r="AE183" i="3"/>
  <c r="AR183" i="3" s="1"/>
  <c r="AL222" i="3"/>
  <c r="AL317" i="3"/>
  <c r="AL241" i="3"/>
  <c r="AJ214" i="3"/>
  <c r="AI210" i="3"/>
  <c r="AI206" i="3"/>
  <c r="AL248" i="3"/>
  <c r="AI189" i="3"/>
  <c r="AJ167" i="3"/>
  <c r="AQ189" i="3"/>
  <c r="AE177" i="3"/>
  <c r="AR177" i="3" s="1"/>
  <c r="AL287" i="3"/>
  <c r="AL280" i="3"/>
  <c r="AL273" i="3"/>
  <c r="AI174" i="3"/>
  <c r="AJ349" i="3"/>
  <c r="AL209" i="3"/>
  <c r="AJ189" i="3"/>
  <c r="AK206" i="3"/>
  <c r="AJ354" i="3"/>
  <c r="AK389" i="3"/>
  <c r="AL173" i="3"/>
  <c r="AK139" i="3"/>
  <c r="AK353" i="3"/>
  <c r="AE404" i="3"/>
  <c r="AR404" i="3" s="1"/>
  <c r="AI396" i="3"/>
  <c r="AR208" i="3"/>
  <c r="AE139" i="3"/>
  <c r="AR139" i="3" s="1"/>
  <c r="AI203" i="3"/>
  <c r="AR386" i="3"/>
  <c r="AL138" i="3"/>
  <c r="AK396" i="3"/>
  <c r="AQ405" i="3"/>
  <c r="AR199" i="3"/>
  <c r="AL295" i="3"/>
  <c r="AL184" i="3"/>
  <c r="AJ203" i="3"/>
  <c r="AQ349" i="3"/>
  <c r="AJ377" i="3"/>
  <c r="AJ381" i="3"/>
  <c r="AJ396" i="3"/>
  <c r="AL190" i="3"/>
  <c r="AE351" i="3"/>
  <c r="AR351" i="3" s="1"/>
  <c r="AJ369" i="3"/>
  <c r="AI394" i="3"/>
  <c r="AJ139" i="3"/>
  <c r="AR394" i="3"/>
  <c r="AR410" i="3"/>
  <c r="AE141" i="3"/>
  <c r="AR141" i="3" s="1"/>
  <c r="AL294" i="3"/>
  <c r="AR382" i="3"/>
  <c r="AI392" i="3"/>
  <c r="AJ419" i="3"/>
  <c r="AR189" i="3"/>
  <c r="AL297" i="3"/>
  <c r="AJ212" i="3"/>
  <c r="AK179" i="3"/>
  <c r="AK141" i="3"/>
  <c r="AL305" i="3"/>
  <c r="AL158" i="3"/>
  <c r="AR405" i="3"/>
  <c r="G412" i="3"/>
  <c r="AL282" i="3"/>
  <c r="AL171" i="3"/>
  <c r="AL267" i="3"/>
  <c r="G410" i="3"/>
  <c r="AL309" i="3"/>
  <c r="AL198" i="3"/>
  <c r="AI371" i="3"/>
  <c r="AE378" i="3"/>
  <c r="AR378" i="3" s="1"/>
  <c r="AJ388" i="3"/>
  <c r="AQ407" i="3"/>
  <c r="AI412" i="3"/>
  <c r="AB380" i="3"/>
  <c r="AL239" i="3"/>
  <c r="AR157" i="3"/>
  <c r="AL292" i="3"/>
  <c r="AL345" i="3"/>
  <c r="AE381" i="3"/>
  <c r="AR381" i="3" s="1"/>
  <c r="AE389" i="3"/>
  <c r="AR389" i="3" s="1"/>
  <c r="AB412" i="3"/>
  <c r="AL286" i="3"/>
  <c r="AL194" i="3"/>
  <c r="AQ191" i="3"/>
  <c r="AQ151" i="3"/>
  <c r="AL272" i="3"/>
  <c r="G369" i="3"/>
  <c r="AR373" i="3"/>
  <c r="G396" i="3"/>
  <c r="AE412" i="3"/>
  <c r="AR412" i="3" s="1"/>
  <c r="AL327" i="3"/>
  <c r="AL288" i="3"/>
  <c r="AL152" i="3"/>
  <c r="AB410" i="3"/>
  <c r="AL314" i="3"/>
  <c r="AL232" i="3"/>
  <c r="AL186" i="3"/>
  <c r="AB349" i="3"/>
  <c r="AE350" i="3"/>
  <c r="AR350" i="3" s="1"/>
  <c r="AE370" i="3"/>
  <c r="AR370" i="3" s="1"/>
  <c r="AJ412" i="3"/>
  <c r="AQ155" i="3"/>
  <c r="AR151" i="3"/>
  <c r="AJ351" i="3"/>
  <c r="G373" i="3"/>
  <c r="AI379" i="3"/>
  <c r="AR395" i="3"/>
  <c r="AE396" i="3"/>
  <c r="AR396" i="3" s="1"/>
  <c r="G418" i="3"/>
  <c r="AJ197" i="3"/>
  <c r="AE415" i="3"/>
  <c r="AR415" i="3" s="1"/>
  <c r="AB419" i="3"/>
  <c r="AI179" i="3"/>
  <c r="AE153" i="3"/>
  <c r="AR153" i="3" s="1"/>
  <c r="G353" i="3"/>
  <c r="AI378" i="3"/>
  <c r="AQ380" i="3"/>
  <c r="AJ141" i="3"/>
  <c r="AK380" i="3"/>
  <c r="AI398" i="3"/>
  <c r="AK151" i="3"/>
  <c r="AK351" i="3"/>
  <c r="AE181" i="3"/>
  <c r="AR181" i="3" s="1"/>
  <c r="AL313" i="3"/>
  <c r="AL291" i="3"/>
  <c r="AJ151" i="3"/>
  <c r="AR197" i="3"/>
  <c r="AQ185" i="3"/>
  <c r="AL231" i="3"/>
  <c r="AL202" i="3"/>
  <c r="AB348" i="3"/>
  <c r="AQ358" i="3"/>
  <c r="AI369" i="3"/>
  <c r="AK378" i="3"/>
  <c r="AB390" i="3"/>
  <c r="AE393" i="3"/>
  <c r="AR393" i="3" s="1"/>
  <c r="AJ410" i="3"/>
  <c r="AL410" i="3" s="1"/>
  <c r="AL285" i="3"/>
  <c r="AR349" i="3"/>
  <c r="AK359" i="3"/>
  <c r="G359" i="3"/>
  <c r="AI359" i="3"/>
  <c r="AB359" i="3"/>
  <c r="AQ221" i="3"/>
  <c r="AE221" i="3"/>
  <c r="AR221" i="3" s="1"/>
  <c r="AL334" i="3"/>
  <c r="AL329" i="3"/>
  <c r="AL326" i="3"/>
  <c r="AL274" i="3"/>
  <c r="AL245" i="3"/>
  <c r="AL213" i="3"/>
  <c r="G358" i="3"/>
  <c r="AB358" i="3"/>
  <c r="AK358" i="3"/>
  <c r="AR390" i="3"/>
  <c r="AQ219" i="3"/>
  <c r="AE219" i="3"/>
  <c r="AR219" i="3" s="1"/>
  <c r="AJ219" i="3"/>
  <c r="AK219" i="3"/>
  <c r="AL310" i="3"/>
  <c r="AL261" i="3"/>
  <c r="AI208" i="3"/>
  <c r="AJ208" i="3"/>
  <c r="AK208" i="3"/>
  <c r="AI221" i="3"/>
  <c r="AK221" i="3"/>
  <c r="AJ195" i="3"/>
  <c r="AK195" i="3"/>
  <c r="AL341" i="3"/>
  <c r="AL271" i="3"/>
  <c r="AI219" i="3"/>
  <c r="AB400" i="3"/>
  <c r="G400" i="3"/>
  <c r="AK400" i="3"/>
  <c r="G405" i="3"/>
  <c r="AJ405" i="3"/>
  <c r="AI405" i="3"/>
  <c r="AL230" i="3"/>
  <c r="G401" i="3"/>
  <c r="AB401" i="3"/>
  <c r="AK401" i="3"/>
  <c r="AJ191" i="3"/>
  <c r="AI191" i="3"/>
  <c r="AK191" i="3"/>
  <c r="AL306" i="3"/>
  <c r="AL321" i="3"/>
  <c r="AB411" i="3"/>
  <c r="G411" i="3"/>
  <c r="AJ411" i="3"/>
  <c r="AL154" i="3"/>
  <c r="AL281" i="3"/>
  <c r="AL249" i="3"/>
  <c r="AE357" i="3"/>
  <c r="AR357" i="3" s="1"/>
  <c r="AQ357" i="3"/>
  <c r="AR367" i="3"/>
  <c r="AR388" i="3"/>
  <c r="AQ411" i="3"/>
  <c r="AE411" i="3"/>
  <c r="AR411" i="3" s="1"/>
  <c r="AI183" i="3"/>
  <c r="AK183" i="3"/>
  <c r="AJ172" i="3"/>
  <c r="AI172" i="3"/>
  <c r="AK172" i="3"/>
  <c r="AL301" i="3"/>
  <c r="AI177" i="3"/>
  <c r="AR402" i="3"/>
  <c r="AB405" i="3"/>
  <c r="G409" i="3"/>
  <c r="AK409" i="3"/>
  <c r="AJ409" i="3"/>
  <c r="AI409" i="3"/>
  <c r="AK177" i="3"/>
  <c r="AL320" i="3"/>
  <c r="AK155" i="3"/>
  <c r="AR353" i="3"/>
  <c r="AI401" i="3"/>
  <c r="AQ366" i="3"/>
  <c r="AR366" i="3"/>
  <c r="AB385" i="3"/>
  <c r="AK385" i="3"/>
  <c r="AJ199" i="3"/>
  <c r="AI199" i="3"/>
  <c r="AK199" i="3"/>
  <c r="AI185" i="3"/>
  <c r="AJ185" i="3"/>
  <c r="AK185" i="3"/>
  <c r="AJ401" i="3"/>
  <c r="AQ174" i="3"/>
  <c r="AE174" i="3"/>
  <c r="AR174" i="3" s="1"/>
  <c r="AL344" i="3"/>
  <c r="AL340" i="3"/>
  <c r="AL236" i="3"/>
  <c r="AI155" i="3"/>
  <c r="AL145" i="3"/>
  <c r="G408" i="3"/>
  <c r="AI408" i="3"/>
  <c r="AB408" i="3"/>
  <c r="AK408" i="3"/>
  <c r="AL256" i="3"/>
  <c r="AQ187" i="3"/>
  <c r="AE187" i="3"/>
  <c r="AR187" i="3" s="1"/>
  <c r="AL263" i="3"/>
  <c r="AL257" i="3"/>
  <c r="AL207" i="3"/>
  <c r="AJ187" i="3"/>
  <c r="AI358" i="3"/>
  <c r="AR377" i="3"/>
  <c r="AB415" i="3"/>
  <c r="AJ415" i="3"/>
  <c r="AE414" i="3"/>
  <c r="AR414" i="3" s="1"/>
  <c r="AQ414" i="3"/>
  <c r="AJ221" i="3"/>
  <c r="AI187" i="3"/>
  <c r="AL279" i="3"/>
  <c r="AL276" i="3"/>
  <c r="AL247" i="3"/>
  <c r="AI357" i="3"/>
  <c r="AI360" i="3"/>
  <c r="AK360" i="3"/>
  <c r="AB360" i="3"/>
  <c r="AB370" i="3"/>
  <c r="AJ370" i="3"/>
  <c r="AQ406" i="3"/>
  <c r="AR159" i="3"/>
  <c r="AQ197" i="3"/>
  <c r="AI144" i="3"/>
  <c r="AJ144" i="3"/>
  <c r="AK144" i="3"/>
  <c r="AJ357" i="3"/>
  <c r="AB407" i="3"/>
  <c r="AJ407" i="3"/>
  <c r="AI407" i="3"/>
  <c r="AL343" i="3"/>
  <c r="AL323" i="3"/>
  <c r="AL308" i="3"/>
  <c r="AL303" i="3"/>
  <c r="AI159" i="3"/>
  <c r="AK153" i="3"/>
  <c r="AR368" i="3"/>
  <c r="G379" i="3"/>
  <c r="G381" i="3"/>
  <c r="AI404" i="3"/>
  <c r="AR185" i="3"/>
  <c r="AL315" i="3"/>
  <c r="AL284" i="3"/>
  <c r="AL220" i="3"/>
  <c r="AL188" i="3"/>
  <c r="AR206" i="3"/>
  <c r="AQ195" i="3"/>
  <c r="AR191" i="3"/>
  <c r="AL268" i="3"/>
  <c r="AK181" i="3"/>
  <c r="AK174" i="3"/>
  <c r="AL156" i="3"/>
  <c r="AJ153" i="3"/>
  <c r="AL150" i="3"/>
  <c r="AL140" i="3"/>
  <c r="AR369" i="3"/>
  <c r="AJ403" i="3"/>
  <c r="AK404" i="3"/>
  <c r="AR407" i="3"/>
  <c r="AR408" i="3"/>
  <c r="AI414" i="3"/>
  <c r="AR210" i="3"/>
  <c r="AR155" i="3"/>
  <c r="AL226" i="3"/>
  <c r="AL178" i="3"/>
  <c r="AB378" i="3"/>
  <c r="AE385" i="3"/>
  <c r="AR385" i="3" s="1"/>
  <c r="AB394" i="3"/>
  <c r="AJ414" i="3"/>
  <c r="AR406" i="3"/>
  <c r="AK414" i="3"/>
  <c r="AL299" i="3"/>
  <c r="AL228" i="3"/>
  <c r="AL225" i="3"/>
  <c r="AK212" i="3"/>
  <c r="AK197" i="3"/>
  <c r="AL180" i="3"/>
  <c r="AK167" i="3"/>
  <c r="AI353" i="3"/>
  <c r="AR358" i="3"/>
  <c r="AK373" i="3"/>
  <c r="AI377" i="3"/>
  <c r="AK384" i="3"/>
  <c r="AI388" i="3"/>
  <c r="AI389" i="3"/>
  <c r="AJ390" i="3"/>
  <c r="AK399" i="3"/>
  <c r="AQ410" i="3"/>
  <c r="G414" i="3"/>
  <c r="AR195" i="3"/>
  <c r="AL333" i="3"/>
  <c r="AL328" i="3"/>
  <c r="AL233" i="3"/>
  <c r="AI348" i="3"/>
  <c r="AK349" i="3"/>
  <c r="AJ350" i="3"/>
  <c r="AI351" i="3"/>
  <c r="AR360" i="3"/>
  <c r="AJ378" i="3"/>
  <c r="AJ380" i="3"/>
  <c r="AR384" i="3"/>
  <c r="AK388" i="3"/>
  <c r="AK393" i="3"/>
  <c r="AJ394" i="3"/>
  <c r="AE397" i="3"/>
  <c r="AR397" i="3" s="1"/>
  <c r="AR399" i="3"/>
  <c r="AR400" i="3"/>
  <c r="AR146" i="3"/>
  <c r="AL298" i="3"/>
  <c r="AL227" i="3"/>
  <c r="AK214" i="3"/>
  <c r="AR376" i="3"/>
  <c r="AQ377" i="3"/>
  <c r="AR387" i="3"/>
  <c r="AJ397" i="3"/>
  <c r="AK417" i="3"/>
  <c r="AL176" i="3"/>
  <c r="AL196" i="3"/>
  <c r="AR203" i="3"/>
  <c r="AL330" i="3"/>
  <c r="AL277" i="3"/>
  <c r="AL205" i="3"/>
  <c r="AL166" i="3"/>
  <c r="AK159" i="3"/>
  <c r="G349" i="3"/>
  <c r="AL211" i="3"/>
  <c r="AL182" i="3"/>
  <c r="AL258" i="3"/>
  <c r="AL253" i="3"/>
  <c r="G348" i="3"/>
  <c r="G350" i="3"/>
  <c r="G380" i="3"/>
  <c r="AI416" i="3"/>
  <c r="AR403" i="3"/>
  <c r="AR413" i="3"/>
  <c r="AR356" i="3"/>
  <c r="AR372" i="3"/>
  <c r="AR352" i="3"/>
  <c r="AR383" i="3"/>
  <c r="AR392" i="3"/>
  <c r="AR380" i="3"/>
  <c r="AR391" i="3"/>
  <c r="AR364" i="3"/>
  <c r="AR417" i="3"/>
  <c r="AR418" i="3"/>
  <c r="AR365" i="3"/>
  <c r="AQ383" i="3"/>
  <c r="AQ387" i="3"/>
  <c r="AQ391" i="3"/>
  <c r="AQ402" i="3"/>
  <c r="G406" i="3"/>
  <c r="AI350" i="3"/>
  <c r="AQ352" i="3"/>
  <c r="AB355" i="3"/>
  <c r="AK357" i="3"/>
  <c r="AR362" i="3"/>
  <c r="AQ368" i="3"/>
  <c r="AB371" i="3"/>
  <c r="G372" i="3"/>
  <c r="AJ373" i="3"/>
  <c r="AR374" i="3"/>
  <c r="AK377" i="3"/>
  <c r="AI381" i="3"/>
  <c r="AB398" i="3"/>
  <c r="G399" i="3"/>
  <c r="AJ400" i="3"/>
  <c r="AE401" i="3"/>
  <c r="AR401" i="3" s="1"/>
  <c r="AK407" i="3"/>
  <c r="AI411" i="3"/>
  <c r="AQ413" i="3"/>
  <c r="AB416" i="3"/>
  <c r="G417" i="3"/>
  <c r="AJ418" i="3"/>
  <c r="AE419" i="3"/>
  <c r="AR419" i="3" s="1"/>
  <c r="AQ356" i="3"/>
  <c r="AQ364" i="3"/>
  <c r="AQ376" i="3"/>
  <c r="AK350" i="3"/>
  <c r="AI354" i="3"/>
  <c r="AI370" i="3"/>
  <c r="AQ372" i="3"/>
  <c r="AK381" i="3"/>
  <c r="AB383" i="3"/>
  <c r="G384" i="3"/>
  <c r="AJ385" i="3"/>
  <c r="G388" i="3"/>
  <c r="AJ389" i="3"/>
  <c r="G392" i="3"/>
  <c r="AJ393" i="3"/>
  <c r="AI397" i="3"/>
  <c r="AQ399" i="3"/>
  <c r="AB402" i="3"/>
  <c r="G403" i="3"/>
  <c r="AJ404" i="3"/>
  <c r="AK411" i="3"/>
  <c r="AI415" i="3"/>
  <c r="AQ417" i="3"/>
  <c r="AE348" i="3"/>
  <c r="AR348" i="3" s="1"/>
  <c r="AK354" i="3"/>
  <c r="G357" i="3"/>
  <c r="AE359" i="3"/>
  <c r="AR359" i="3" s="1"/>
  <c r="AR363" i="3"/>
  <c r="AK370" i="3"/>
  <c r="AR375" i="3"/>
  <c r="G377" i="3"/>
  <c r="AE379" i="3"/>
  <c r="AR379" i="3" s="1"/>
  <c r="AQ384" i="3"/>
  <c r="AQ388" i="3"/>
  <c r="AQ392" i="3"/>
  <c r="AK397" i="3"/>
  <c r="AQ403" i="3"/>
  <c r="AB406" i="3"/>
  <c r="G407" i="3"/>
  <c r="AJ408" i="3"/>
  <c r="AE409" i="3"/>
  <c r="AR409" i="3" s="1"/>
  <c r="AK415" i="3"/>
  <c r="AB352" i="3"/>
  <c r="AE355" i="3"/>
  <c r="AR355" i="3" s="1"/>
  <c r="AB368" i="3"/>
  <c r="AE371" i="3"/>
  <c r="AR371" i="3" s="1"/>
  <c r="AE398" i="3"/>
  <c r="AR398" i="3" s="1"/>
  <c r="AB413" i="3"/>
  <c r="AE416" i="3"/>
  <c r="AR416" i="3" s="1"/>
  <c r="AQ365" i="3"/>
  <c r="AB372" i="3"/>
  <c r="AB399" i="3"/>
  <c r="AB417" i="3"/>
  <c r="G354" i="3"/>
  <c r="AJ355" i="3"/>
  <c r="G370" i="3"/>
  <c r="AJ371" i="3"/>
  <c r="AK394" i="3"/>
  <c r="G397" i="3"/>
  <c r="AJ398" i="3"/>
  <c r="AK405" i="3"/>
  <c r="G415" i="3"/>
  <c r="AJ416" i="3"/>
  <c r="AQ373" i="3"/>
  <c r="G385" i="3"/>
  <c r="G389" i="3"/>
  <c r="G393" i="3"/>
  <c r="AQ400" i="3"/>
  <c r="G404" i="3"/>
  <c r="AJ348" i="3"/>
  <c r="AK355" i="3"/>
  <c r="AJ359" i="3"/>
  <c r="AK371" i="3"/>
  <c r="AJ379" i="3"/>
  <c r="AI383" i="3"/>
  <c r="AK398" i="3"/>
  <c r="AI402" i="3"/>
  <c r="AK416" i="3"/>
  <c r="G383" i="3"/>
  <c r="G402" i="3"/>
  <c r="G352" i="3"/>
  <c r="G368" i="3"/>
  <c r="G413" i="3"/>
  <c r="AQ418" i="3"/>
  <c r="AI352" i="3"/>
  <c r="AI368" i="3"/>
  <c r="AJ383" i="3"/>
  <c r="AJ402" i="3"/>
  <c r="AI413" i="3"/>
  <c r="AJ352" i="3"/>
  <c r="AJ368" i="3"/>
  <c r="AI406" i="3"/>
  <c r="AJ413" i="3"/>
  <c r="AI372" i="3"/>
  <c r="AI399" i="3"/>
  <c r="AJ406" i="3"/>
  <c r="AI417" i="3"/>
  <c r="AR212" i="3"/>
  <c r="AR164" i="3"/>
  <c r="AR167" i="3"/>
  <c r="AE214" i="3"/>
  <c r="AR214" i="3" s="1"/>
  <c r="AE172" i="3"/>
  <c r="AR172" i="3" s="1"/>
  <c r="AE179" i="3"/>
  <c r="AR179" i="3" s="1"/>
  <c r="AQ206" i="3"/>
  <c r="AQ157" i="3"/>
  <c r="AQ208" i="3"/>
  <c r="AQ159" i="3"/>
  <c r="AQ210" i="3"/>
  <c r="AQ164" i="3"/>
  <c r="AQ212" i="3"/>
  <c r="AQ167" i="3"/>
  <c r="AL146" i="3" l="1"/>
  <c r="AL403" i="3"/>
  <c r="AL164" i="3"/>
  <c r="AL153" i="3"/>
  <c r="AL419" i="3"/>
  <c r="AL390" i="3"/>
  <c r="AL157" i="3"/>
  <c r="AL203" i="3"/>
  <c r="AL392" i="3"/>
  <c r="AL418" i="3"/>
  <c r="AL206" i="3"/>
  <c r="AL384" i="3"/>
  <c r="AL174" i="3"/>
  <c r="AL210" i="3"/>
  <c r="AL378" i="3"/>
  <c r="AL353" i="3"/>
  <c r="AL412" i="3"/>
  <c r="AL351" i="3"/>
  <c r="AL369" i="3"/>
  <c r="AL139" i="3"/>
  <c r="AL212" i="3"/>
  <c r="AL416" i="3"/>
  <c r="AL385" i="3"/>
  <c r="AL372" i="3"/>
  <c r="AL155" i="3"/>
  <c r="AL191" i="3"/>
  <c r="AL379" i="3"/>
  <c r="AL214" i="3"/>
  <c r="AL371" i="3"/>
  <c r="AL409" i="3"/>
  <c r="AL189" i="3"/>
  <c r="AL159" i="3"/>
  <c r="AL348" i="3"/>
  <c r="AL151" i="3"/>
  <c r="AL393" i="3"/>
  <c r="AL181" i="3"/>
  <c r="AL358" i="3"/>
  <c r="AL380" i="3"/>
  <c r="AL349" i="3"/>
  <c r="AL141" i="3"/>
  <c r="AL396" i="3"/>
  <c r="AL167" i="3"/>
  <c r="AL179" i="3"/>
  <c r="AL357" i="3"/>
  <c r="AL350" i="3"/>
  <c r="AL389" i="3"/>
  <c r="AL407" i="3"/>
  <c r="AL373" i="3"/>
  <c r="AL197" i="3"/>
  <c r="AL195" i="3"/>
  <c r="AL400" i="3"/>
  <c r="AL394" i="3"/>
  <c r="AL398" i="3"/>
  <c r="AL187" i="3"/>
  <c r="AL199" i="3"/>
  <c r="AL221" i="3"/>
  <c r="AL388" i="3"/>
  <c r="AL401" i="3"/>
  <c r="AL185" i="3"/>
  <c r="AL208" i="3"/>
  <c r="AL177" i="3"/>
  <c r="AL417" i="3"/>
  <c r="AL402" i="3"/>
  <c r="AL172" i="3"/>
  <c r="AL144" i="3"/>
  <c r="AL381" i="3"/>
  <c r="AL370" i="3"/>
  <c r="AL399" i="3"/>
  <c r="AL406" i="3"/>
  <c r="AL219" i="3"/>
  <c r="AL405" i="3"/>
  <c r="AL354" i="3"/>
  <c r="AL404" i="3"/>
  <c r="AL414" i="3"/>
  <c r="AL183" i="3"/>
  <c r="AL377" i="3"/>
  <c r="AL408" i="3"/>
  <c r="AL383" i="3"/>
  <c r="AL360" i="3"/>
  <c r="AL355" i="3"/>
  <c r="AL359" i="3"/>
  <c r="AL415" i="3"/>
  <c r="AL413" i="3"/>
  <c r="AL397" i="3"/>
  <c r="AL368" i="3"/>
  <c r="AL352" i="3"/>
  <c r="AL411" i="3"/>
  <c r="F78" i="4" l="1"/>
  <c r="K49" i="4"/>
  <c r="K50" i="4" s="1"/>
  <c r="K52" i="4" s="1"/>
  <c r="G78" i="4"/>
  <c r="H49" i="4"/>
  <c r="H50" i="4" s="1"/>
  <c r="H52" i="4" s="1"/>
  <c r="L38" i="4"/>
  <c r="D38" i="4"/>
  <c r="E37" i="4"/>
  <c r="D37" i="4"/>
  <c r="K36" i="4"/>
  <c r="K38" i="4"/>
  <c r="J36" i="4"/>
  <c r="J37" i="4" s="1"/>
  <c r="J38" i="4"/>
  <c r="I36" i="4"/>
  <c r="I37" i="4" s="1"/>
  <c r="I38" i="4"/>
  <c r="H36" i="4"/>
  <c r="H37" i="4" s="1"/>
  <c r="G36" i="4"/>
  <c r="G37" i="4" s="1"/>
  <c r="E36" i="4"/>
  <c r="E38" i="4" s="1"/>
  <c r="D36" i="4"/>
  <c r="E8" i="4"/>
  <c r="E10" i="4" s="1"/>
  <c r="E11" i="4" s="1"/>
  <c r="E14" i="4" s="1"/>
  <c r="D8" i="4"/>
  <c r="D10" i="4" s="1"/>
  <c r="D11" i="4" s="1"/>
  <c r="D14" i="4" s="1"/>
  <c r="E7" i="4"/>
  <c r="D7" i="4"/>
  <c r="L80" i="4"/>
  <c r="K78" i="4"/>
  <c r="K80" i="4"/>
  <c r="J78" i="4"/>
  <c r="J79" i="4" s="1"/>
  <c r="J80" i="4"/>
  <c r="I78" i="4"/>
  <c r="I79" i="4" s="1"/>
  <c r="I80" i="4"/>
  <c r="H78" i="4"/>
  <c r="H80" i="4"/>
  <c r="E78" i="4"/>
  <c r="E80" i="4"/>
  <c r="D78" i="4"/>
  <c r="D80" i="4" s="1"/>
  <c r="D9" i="4"/>
  <c r="D79" i="4"/>
  <c r="E79" i="4"/>
  <c r="H79" i="4"/>
  <c r="B2" i="3"/>
  <c r="C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17" i="3"/>
  <c r="C117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40" i="3"/>
  <c r="C40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AP137" i="3"/>
  <c r="AO137" i="3"/>
  <c r="AN137" i="3"/>
  <c r="AM137" i="3"/>
  <c r="AD137" i="3"/>
  <c r="AC137" i="3"/>
  <c r="Z137" i="3"/>
  <c r="Y137" i="3"/>
  <c r="J137" i="3"/>
  <c r="AE137" i="3" s="1"/>
  <c r="F137" i="3"/>
  <c r="AP136" i="3"/>
  <c r="AO136" i="3"/>
  <c r="AN136" i="3"/>
  <c r="AM136" i="3"/>
  <c r="AD136" i="3"/>
  <c r="AC136" i="3"/>
  <c r="Z136" i="3"/>
  <c r="Y136" i="3"/>
  <c r="J136" i="3"/>
  <c r="AE136" i="3" s="1"/>
  <c r="F136" i="3"/>
  <c r="AP135" i="3"/>
  <c r="AO135" i="3"/>
  <c r="AN135" i="3"/>
  <c r="AM135" i="3"/>
  <c r="AD135" i="3"/>
  <c r="AC135" i="3"/>
  <c r="Z135" i="3"/>
  <c r="Y135" i="3"/>
  <c r="J135" i="3"/>
  <c r="AE135" i="3" s="1"/>
  <c r="F135" i="3"/>
  <c r="AP134" i="3"/>
  <c r="AO134" i="3"/>
  <c r="AN134" i="3"/>
  <c r="AM134" i="3"/>
  <c r="AD134" i="3"/>
  <c r="AC134" i="3"/>
  <c r="Z134" i="3"/>
  <c r="Y134" i="3"/>
  <c r="J134" i="3"/>
  <c r="AQ134" i="3" s="1"/>
  <c r="F134" i="3"/>
  <c r="AP133" i="3"/>
  <c r="AO133" i="3"/>
  <c r="AN133" i="3"/>
  <c r="AM133" i="3"/>
  <c r="AD133" i="3"/>
  <c r="AC133" i="3"/>
  <c r="Z133" i="3"/>
  <c r="Y133" i="3"/>
  <c r="J133" i="3"/>
  <c r="AE133" i="3" s="1"/>
  <c r="F133" i="3"/>
  <c r="AP132" i="3"/>
  <c r="AO132" i="3"/>
  <c r="AN132" i="3"/>
  <c r="AM132" i="3"/>
  <c r="AD132" i="3"/>
  <c r="AC132" i="3"/>
  <c r="Z132" i="3"/>
  <c r="Y132" i="3"/>
  <c r="J132" i="3"/>
  <c r="AE132" i="3" s="1"/>
  <c r="F132" i="3"/>
  <c r="AP131" i="3"/>
  <c r="AO131" i="3"/>
  <c r="AN131" i="3"/>
  <c r="AM131" i="3"/>
  <c r="AD131" i="3"/>
  <c r="AC131" i="3"/>
  <c r="Z131" i="3"/>
  <c r="Y131" i="3"/>
  <c r="J131" i="3"/>
  <c r="AQ131" i="3" s="1"/>
  <c r="F131" i="3"/>
  <c r="AP130" i="3"/>
  <c r="AO130" i="3"/>
  <c r="AN130" i="3"/>
  <c r="AM130" i="3"/>
  <c r="AD130" i="3"/>
  <c r="AC130" i="3"/>
  <c r="Z130" i="3"/>
  <c r="Y130" i="3"/>
  <c r="J130" i="3"/>
  <c r="AE130" i="3" s="1"/>
  <c r="F130" i="3"/>
  <c r="AP129" i="3"/>
  <c r="AO129" i="3"/>
  <c r="AN129" i="3"/>
  <c r="AM129" i="3"/>
  <c r="AD129" i="3"/>
  <c r="AC129" i="3"/>
  <c r="Z129" i="3"/>
  <c r="Y129" i="3"/>
  <c r="J129" i="3"/>
  <c r="AQ129" i="3" s="1"/>
  <c r="F129" i="3"/>
  <c r="AP128" i="3"/>
  <c r="AO128" i="3"/>
  <c r="AN128" i="3"/>
  <c r="AM128" i="3"/>
  <c r="AD128" i="3"/>
  <c r="AC128" i="3"/>
  <c r="Z128" i="3"/>
  <c r="Y128" i="3"/>
  <c r="J128" i="3"/>
  <c r="AQ128" i="3" s="1"/>
  <c r="F128" i="3"/>
  <c r="AP127" i="3"/>
  <c r="AO127" i="3"/>
  <c r="AN127" i="3"/>
  <c r="AM127" i="3"/>
  <c r="AD127" i="3"/>
  <c r="AC127" i="3"/>
  <c r="Z127" i="3"/>
  <c r="Y127" i="3"/>
  <c r="J127" i="3"/>
  <c r="AQ127" i="3" s="1"/>
  <c r="F127" i="3"/>
  <c r="AP126" i="3"/>
  <c r="AO126" i="3"/>
  <c r="AN126" i="3"/>
  <c r="AM126" i="3"/>
  <c r="AD126" i="3"/>
  <c r="AC126" i="3"/>
  <c r="Z126" i="3"/>
  <c r="Y126" i="3"/>
  <c r="J126" i="3"/>
  <c r="AQ126" i="3" s="1"/>
  <c r="F126" i="3"/>
  <c r="AP125" i="3"/>
  <c r="AO125" i="3"/>
  <c r="AN125" i="3"/>
  <c r="AM125" i="3"/>
  <c r="AD125" i="3"/>
  <c r="AC125" i="3"/>
  <c r="Z125" i="3"/>
  <c r="Y125" i="3"/>
  <c r="J125" i="3"/>
  <c r="AE125" i="3" s="1"/>
  <c r="F125" i="3"/>
  <c r="AP124" i="3"/>
  <c r="AO124" i="3"/>
  <c r="AN124" i="3"/>
  <c r="AM124" i="3"/>
  <c r="AD124" i="3"/>
  <c r="AC124" i="3"/>
  <c r="Z124" i="3"/>
  <c r="Y124" i="3"/>
  <c r="J124" i="3"/>
  <c r="AE124" i="3" s="1"/>
  <c r="F124" i="3"/>
  <c r="AP123" i="3"/>
  <c r="AO123" i="3"/>
  <c r="AN123" i="3"/>
  <c r="AM123" i="3"/>
  <c r="AD123" i="3"/>
  <c r="AC123" i="3"/>
  <c r="Z123" i="3"/>
  <c r="Y123" i="3"/>
  <c r="J123" i="3"/>
  <c r="AE123" i="3" s="1"/>
  <c r="F123" i="3"/>
  <c r="AP122" i="3"/>
  <c r="AO122" i="3"/>
  <c r="AN122" i="3"/>
  <c r="AM122" i="3"/>
  <c r="AD122" i="3"/>
  <c r="AC122" i="3"/>
  <c r="Z122" i="3"/>
  <c r="Y122" i="3"/>
  <c r="J122" i="3"/>
  <c r="AQ122" i="3" s="1"/>
  <c r="F122" i="3"/>
  <c r="AP121" i="3"/>
  <c r="AO121" i="3"/>
  <c r="AN121" i="3"/>
  <c r="AM121" i="3"/>
  <c r="AD121" i="3"/>
  <c r="AC121" i="3"/>
  <c r="Z121" i="3"/>
  <c r="Y121" i="3"/>
  <c r="J121" i="3"/>
  <c r="AQ121" i="3" s="1"/>
  <c r="F121" i="3"/>
  <c r="AP120" i="3"/>
  <c r="AO120" i="3"/>
  <c r="AN120" i="3"/>
  <c r="AM120" i="3"/>
  <c r="AD120" i="3"/>
  <c r="AC120" i="3"/>
  <c r="Z120" i="3"/>
  <c r="Y120" i="3"/>
  <c r="J120" i="3"/>
  <c r="AE120" i="3" s="1"/>
  <c r="F120" i="3"/>
  <c r="AP119" i="3"/>
  <c r="AO119" i="3"/>
  <c r="AN119" i="3"/>
  <c r="AM119" i="3"/>
  <c r="AD119" i="3"/>
  <c r="AC119" i="3"/>
  <c r="Z119" i="3"/>
  <c r="Y119" i="3"/>
  <c r="J119" i="3"/>
  <c r="AQ119" i="3" s="1"/>
  <c r="F119" i="3"/>
  <c r="AP118" i="3"/>
  <c r="AO118" i="3"/>
  <c r="AN118" i="3"/>
  <c r="AM118" i="3"/>
  <c r="AD118" i="3"/>
  <c r="AC118" i="3"/>
  <c r="Z118" i="3"/>
  <c r="Y118" i="3"/>
  <c r="J118" i="3"/>
  <c r="AE118" i="3" s="1"/>
  <c r="F118" i="3"/>
  <c r="AP116" i="3"/>
  <c r="AO116" i="3"/>
  <c r="AN116" i="3"/>
  <c r="AM116" i="3"/>
  <c r="AD116" i="3"/>
  <c r="AC116" i="3"/>
  <c r="Z116" i="3"/>
  <c r="Y116" i="3"/>
  <c r="J116" i="3"/>
  <c r="AQ116" i="3" s="1"/>
  <c r="F116" i="3"/>
  <c r="AP115" i="3"/>
  <c r="AO115" i="3"/>
  <c r="AN115" i="3"/>
  <c r="AM115" i="3"/>
  <c r="AD115" i="3"/>
  <c r="AC115" i="3"/>
  <c r="Z115" i="3"/>
  <c r="Y115" i="3"/>
  <c r="J115" i="3"/>
  <c r="AE115" i="3" s="1"/>
  <c r="F115" i="3"/>
  <c r="AP114" i="3"/>
  <c r="AO114" i="3"/>
  <c r="AN114" i="3"/>
  <c r="AM114" i="3"/>
  <c r="AD114" i="3"/>
  <c r="AC114" i="3"/>
  <c r="Z114" i="3"/>
  <c r="Y114" i="3"/>
  <c r="J114" i="3"/>
  <c r="AE114" i="3" s="1"/>
  <c r="F114" i="3"/>
  <c r="AP113" i="3"/>
  <c r="AO113" i="3"/>
  <c r="AN113" i="3"/>
  <c r="AM113" i="3"/>
  <c r="AD113" i="3"/>
  <c r="AC113" i="3"/>
  <c r="Z113" i="3"/>
  <c r="Y113" i="3"/>
  <c r="J113" i="3"/>
  <c r="AE113" i="3" s="1"/>
  <c r="F113" i="3"/>
  <c r="AP112" i="3"/>
  <c r="AO112" i="3"/>
  <c r="AN112" i="3"/>
  <c r="AM112" i="3"/>
  <c r="AD112" i="3"/>
  <c r="AC112" i="3"/>
  <c r="Z112" i="3"/>
  <c r="Y112" i="3"/>
  <c r="J112" i="3"/>
  <c r="AE112" i="3" s="1"/>
  <c r="F112" i="3"/>
  <c r="AP111" i="3"/>
  <c r="AO111" i="3"/>
  <c r="AN111" i="3"/>
  <c r="AM111" i="3"/>
  <c r="AD111" i="3"/>
  <c r="AC111" i="3"/>
  <c r="Z111" i="3"/>
  <c r="Y111" i="3"/>
  <c r="J111" i="3"/>
  <c r="AE111" i="3" s="1"/>
  <c r="F111" i="3"/>
  <c r="AP110" i="3"/>
  <c r="AO110" i="3"/>
  <c r="AN110" i="3"/>
  <c r="AM110" i="3"/>
  <c r="AD110" i="3"/>
  <c r="AC110" i="3"/>
  <c r="Z110" i="3"/>
  <c r="Y110" i="3"/>
  <c r="J110" i="3"/>
  <c r="AQ110" i="3" s="1"/>
  <c r="F110" i="3"/>
  <c r="AP109" i="3"/>
  <c r="AO109" i="3"/>
  <c r="AN109" i="3"/>
  <c r="AM109" i="3"/>
  <c r="AD109" i="3"/>
  <c r="AC109" i="3"/>
  <c r="Z109" i="3"/>
  <c r="Y109" i="3"/>
  <c r="J109" i="3"/>
  <c r="AE109" i="3" s="1"/>
  <c r="F109" i="3"/>
  <c r="AP108" i="3"/>
  <c r="AO108" i="3"/>
  <c r="AN108" i="3"/>
  <c r="AM108" i="3"/>
  <c r="AD108" i="3"/>
  <c r="AC108" i="3"/>
  <c r="Z108" i="3"/>
  <c r="Y108" i="3"/>
  <c r="J108" i="3"/>
  <c r="AQ108" i="3" s="1"/>
  <c r="F108" i="3"/>
  <c r="AP107" i="3"/>
  <c r="AO107" i="3"/>
  <c r="AN107" i="3"/>
  <c r="AM107" i="3"/>
  <c r="AD107" i="3"/>
  <c r="AC107" i="3"/>
  <c r="Z107" i="3"/>
  <c r="Y107" i="3"/>
  <c r="J107" i="3"/>
  <c r="AQ107" i="3" s="1"/>
  <c r="F107" i="3"/>
  <c r="AP106" i="3"/>
  <c r="AO106" i="3"/>
  <c r="AN106" i="3"/>
  <c r="AM106" i="3"/>
  <c r="AD106" i="3"/>
  <c r="AC106" i="3"/>
  <c r="Z106" i="3"/>
  <c r="Y106" i="3"/>
  <c r="J106" i="3"/>
  <c r="AE106" i="3" s="1"/>
  <c r="F106" i="3"/>
  <c r="AP105" i="3"/>
  <c r="AO105" i="3"/>
  <c r="AN105" i="3"/>
  <c r="AM105" i="3"/>
  <c r="AD105" i="3"/>
  <c r="AC105" i="3"/>
  <c r="Z105" i="3"/>
  <c r="Y105" i="3"/>
  <c r="J105" i="3"/>
  <c r="AQ105" i="3" s="1"/>
  <c r="F105" i="3"/>
  <c r="AP104" i="3"/>
  <c r="AO104" i="3"/>
  <c r="AN104" i="3"/>
  <c r="AM104" i="3"/>
  <c r="AD104" i="3"/>
  <c r="AC104" i="3"/>
  <c r="Z104" i="3"/>
  <c r="Y104" i="3"/>
  <c r="J104" i="3"/>
  <c r="AE104" i="3" s="1"/>
  <c r="F104" i="3"/>
  <c r="AP103" i="3"/>
  <c r="AO103" i="3"/>
  <c r="AN103" i="3"/>
  <c r="AM103" i="3"/>
  <c r="AD103" i="3"/>
  <c r="AC103" i="3"/>
  <c r="Z103" i="3"/>
  <c r="Y103" i="3"/>
  <c r="J103" i="3"/>
  <c r="AE103" i="3" s="1"/>
  <c r="F103" i="3"/>
  <c r="AP102" i="3"/>
  <c r="AO102" i="3"/>
  <c r="AN102" i="3"/>
  <c r="AM102" i="3"/>
  <c r="AD102" i="3"/>
  <c r="AC102" i="3"/>
  <c r="Z102" i="3"/>
  <c r="Y102" i="3"/>
  <c r="J102" i="3"/>
  <c r="AE102" i="3" s="1"/>
  <c r="F102" i="3"/>
  <c r="AP101" i="3"/>
  <c r="AO101" i="3"/>
  <c r="AN101" i="3"/>
  <c r="AM101" i="3"/>
  <c r="AD101" i="3"/>
  <c r="AC101" i="3"/>
  <c r="Z101" i="3"/>
  <c r="Y101" i="3"/>
  <c r="J101" i="3"/>
  <c r="AQ101" i="3" s="1"/>
  <c r="F101" i="3"/>
  <c r="AP100" i="3"/>
  <c r="AO100" i="3"/>
  <c r="AN100" i="3"/>
  <c r="AM100" i="3"/>
  <c r="AD100" i="3"/>
  <c r="AC100" i="3"/>
  <c r="Z100" i="3"/>
  <c r="Y100" i="3"/>
  <c r="J100" i="3"/>
  <c r="AQ100" i="3" s="1"/>
  <c r="F100" i="3"/>
  <c r="AP99" i="3"/>
  <c r="AO99" i="3"/>
  <c r="AN99" i="3"/>
  <c r="AM99" i="3"/>
  <c r="AD99" i="3"/>
  <c r="AC99" i="3"/>
  <c r="Z99" i="3"/>
  <c r="Y99" i="3"/>
  <c r="J99" i="3"/>
  <c r="AQ99" i="3" s="1"/>
  <c r="F99" i="3"/>
  <c r="AP98" i="3"/>
  <c r="AO98" i="3"/>
  <c r="AN98" i="3"/>
  <c r="AM98" i="3"/>
  <c r="AD98" i="3"/>
  <c r="AC98" i="3"/>
  <c r="Z98" i="3"/>
  <c r="Y98" i="3"/>
  <c r="J98" i="3"/>
  <c r="AQ98" i="3" s="1"/>
  <c r="F98" i="3"/>
  <c r="AP97" i="3"/>
  <c r="AO97" i="3"/>
  <c r="AN97" i="3"/>
  <c r="AM97" i="3"/>
  <c r="AD97" i="3"/>
  <c r="AC97" i="3"/>
  <c r="Z97" i="3"/>
  <c r="Y97" i="3"/>
  <c r="J97" i="3"/>
  <c r="AE97" i="3" s="1"/>
  <c r="F97" i="3"/>
  <c r="AP96" i="3"/>
  <c r="AO96" i="3"/>
  <c r="AN96" i="3"/>
  <c r="AM96" i="3"/>
  <c r="AD96" i="3"/>
  <c r="AC96" i="3"/>
  <c r="Z96" i="3"/>
  <c r="Y96" i="3"/>
  <c r="J96" i="3"/>
  <c r="AQ96" i="3" s="1"/>
  <c r="F96" i="3"/>
  <c r="AP95" i="3"/>
  <c r="AO95" i="3"/>
  <c r="AN95" i="3"/>
  <c r="AM95" i="3"/>
  <c r="AD95" i="3"/>
  <c r="AC95" i="3"/>
  <c r="Z95" i="3"/>
  <c r="Y95" i="3"/>
  <c r="J95" i="3"/>
  <c r="AE95" i="3" s="1"/>
  <c r="F95" i="3"/>
  <c r="AP94" i="3"/>
  <c r="AO94" i="3"/>
  <c r="AN94" i="3"/>
  <c r="AM94" i="3"/>
  <c r="AD94" i="3"/>
  <c r="AC94" i="3"/>
  <c r="Z94" i="3"/>
  <c r="Y94" i="3"/>
  <c r="J94" i="3"/>
  <c r="AE94" i="3" s="1"/>
  <c r="F94" i="3"/>
  <c r="AP93" i="3"/>
  <c r="AO93" i="3"/>
  <c r="AN93" i="3"/>
  <c r="AM93" i="3"/>
  <c r="AD93" i="3"/>
  <c r="AC93" i="3"/>
  <c r="Z93" i="3"/>
  <c r="Y93" i="3"/>
  <c r="J93" i="3"/>
  <c r="AE93" i="3" s="1"/>
  <c r="F93" i="3"/>
  <c r="AP92" i="3"/>
  <c r="AO92" i="3"/>
  <c r="AN92" i="3"/>
  <c r="AM92" i="3"/>
  <c r="AD92" i="3"/>
  <c r="AC92" i="3"/>
  <c r="Z92" i="3"/>
  <c r="Y92" i="3"/>
  <c r="J92" i="3"/>
  <c r="AE92" i="3" s="1"/>
  <c r="F92" i="3"/>
  <c r="AP91" i="3"/>
  <c r="AO91" i="3"/>
  <c r="AN91" i="3"/>
  <c r="AM91" i="3"/>
  <c r="AD91" i="3"/>
  <c r="AC91" i="3"/>
  <c r="Z91" i="3"/>
  <c r="Y91" i="3"/>
  <c r="J91" i="3"/>
  <c r="AE91" i="3" s="1"/>
  <c r="F91" i="3"/>
  <c r="AP90" i="3"/>
  <c r="AO90" i="3"/>
  <c r="AN90" i="3"/>
  <c r="AM90" i="3"/>
  <c r="AD90" i="3"/>
  <c r="AC90" i="3"/>
  <c r="Z90" i="3"/>
  <c r="Y90" i="3"/>
  <c r="J90" i="3"/>
  <c r="AQ90" i="3" s="1"/>
  <c r="F90" i="3"/>
  <c r="AP89" i="3"/>
  <c r="AO89" i="3"/>
  <c r="AN89" i="3"/>
  <c r="AM89" i="3"/>
  <c r="AD89" i="3"/>
  <c r="AC89" i="3"/>
  <c r="Z89" i="3"/>
  <c r="Y89" i="3"/>
  <c r="J89" i="3"/>
  <c r="AQ89" i="3" s="1"/>
  <c r="F89" i="3"/>
  <c r="AP88" i="3"/>
  <c r="AO88" i="3"/>
  <c r="AN88" i="3"/>
  <c r="AM88" i="3"/>
  <c r="AD88" i="3"/>
  <c r="AC88" i="3"/>
  <c r="Z88" i="3"/>
  <c r="Y88" i="3"/>
  <c r="J88" i="3"/>
  <c r="AQ88" i="3" s="1"/>
  <c r="F88" i="3"/>
  <c r="AP87" i="3"/>
  <c r="AO87" i="3"/>
  <c r="AN87" i="3"/>
  <c r="AM87" i="3"/>
  <c r="AD87" i="3"/>
  <c r="AC87" i="3"/>
  <c r="Z87" i="3"/>
  <c r="Y87" i="3"/>
  <c r="J87" i="3"/>
  <c r="AQ87" i="3" s="1"/>
  <c r="F87" i="3"/>
  <c r="AP86" i="3"/>
  <c r="AO86" i="3"/>
  <c r="AN86" i="3"/>
  <c r="AM86" i="3"/>
  <c r="AD86" i="3"/>
  <c r="AC86" i="3"/>
  <c r="Z86" i="3"/>
  <c r="Y86" i="3"/>
  <c r="J86" i="3"/>
  <c r="AE86" i="3" s="1"/>
  <c r="F86" i="3"/>
  <c r="AP85" i="3"/>
  <c r="AO85" i="3"/>
  <c r="AN85" i="3"/>
  <c r="AM85" i="3"/>
  <c r="AD85" i="3"/>
  <c r="AC85" i="3"/>
  <c r="Z85" i="3"/>
  <c r="Y85" i="3"/>
  <c r="J85" i="3"/>
  <c r="AQ85" i="3" s="1"/>
  <c r="F85" i="3"/>
  <c r="AP84" i="3"/>
  <c r="AO84" i="3"/>
  <c r="AN84" i="3"/>
  <c r="AM84" i="3"/>
  <c r="AD84" i="3"/>
  <c r="AC84" i="3"/>
  <c r="Z84" i="3"/>
  <c r="Y84" i="3"/>
  <c r="J84" i="3"/>
  <c r="AQ84" i="3" s="1"/>
  <c r="F84" i="3"/>
  <c r="AP83" i="3"/>
  <c r="AO83" i="3"/>
  <c r="AN83" i="3"/>
  <c r="AM83" i="3"/>
  <c r="AD83" i="3"/>
  <c r="AC83" i="3"/>
  <c r="Z83" i="3"/>
  <c r="Y83" i="3"/>
  <c r="J83" i="3"/>
  <c r="AQ83" i="3" s="1"/>
  <c r="F83" i="3"/>
  <c r="AP82" i="3"/>
  <c r="AO82" i="3"/>
  <c r="AN82" i="3"/>
  <c r="AM82" i="3"/>
  <c r="AD82" i="3"/>
  <c r="AC82" i="3"/>
  <c r="Z82" i="3"/>
  <c r="Y82" i="3"/>
  <c r="J82" i="3"/>
  <c r="AQ82" i="3" s="1"/>
  <c r="F82" i="3"/>
  <c r="AP81" i="3"/>
  <c r="AO81" i="3"/>
  <c r="AN81" i="3"/>
  <c r="AM81" i="3"/>
  <c r="AD81" i="3"/>
  <c r="AC81" i="3"/>
  <c r="Z81" i="3"/>
  <c r="Y81" i="3"/>
  <c r="J81" i="3"/>
  <c r="AQ81" i="3" s="1"/>
  <c r="F81" i="3"/>
  <c r="AP80" i="3"/>
  <c r="AO80" i="3"/>
  <c r="AN80" i="3"/>
  <c r="AM80" i="3"/>
  <c r="AD80" i="3"/>
  <c r="AC80" i="3"/>
  <c r="Z80" i="3"/>
  <c r="Y80" i="3"/>
  <c r="J80" i="3"/>
  <c r="AQ80" i="3" s="1"/>
  <c r="F80" i="3"/>
  <c r="AP79" i="3"/>
  <c r="AO79" i="3"/>
  <c r="AN79" i="3"/>
  <c r="AM79" i="3"/>
  <c r="AD79" i="3"/>
  <c r="AC79" i="3"/>
  <c r="Z79" i="3"/>
  <c r="Y79" i="3"/>
  <c r="J79" i="3"/>
  <c r="AE79" i="3" s="1"/>
  <c r="F79" i="3"/>
  <c r="AP78" i="3"/>
  <c r="AO78" i="3"/>
  <c r="AN78" i="3"/>
  <c r="AM78" i="3"/>
  <c r="AD78" i="3"/>
  <c r="AC78" i="3"/>
  <c r="Z78" i="3"/>
  <c r="Y78" i="3"/>
  <c r="J78" i="3"/>
  <c r="AQ78" i="3" s="1"/>
  <c r="F78" i="3"/>
  <c r="AP77" i="3"/>
  <c r="AO77" i="3"/>
  <c r="AN77" i="3"/>
  <c r="AM77" i="3"/>
  <c r="AD77" i="3"/>
  <c r="AC77" i="3"/>
  <c r="Z77" i="3"/>
  <c r="Y77" i="3"/>
  <c r="J77" i="3"/>
  <c r="AE77" i="3" s="1"/>
  <c r="F77" i="3"/>
  <c r="AP76" i="3"/>
  <c r="AO76" i="3"/>
  <c r="AN76" i="3"/>
  <c r="AM76" i="3"/>
  <c r="AD76" i="3"/>
  <c r="AC76" i="3"/>
  <c r="Z76" i="3"/>
  <c r="Y76" i="3"/>
  <c r="J76" i="3"/>
  <c r="AE76" i="3" s="1"/>
  <c r="F76" i="3"/>
  <c r="AP75" i="3"/>
  <c r="AO75" i="3"/>
  <c r="AN75" i="3"/>
  <c r="AM75" i="3"/>
  <c r="AD75" i="3"/>
  <c r="AC75" i="3"/>
  <c r="Z75" i="3"/>
  <c r="Y75" i="3"/>
  <c r="J75" i="3"/>
  <c r="AQ75" i="3" s="1"/>
  <c r="F75" i="3"/>
  <c r="AP74" i="3"/>
  <c r="AO74" i="3"/>
  <c r="AN74" i="3"/>
  <c r="AM74" i="3"/>
  <c r="AD74" i="3"/>
  <c r="AC74" i="3"/>
  <c r="Z74" i="3"/>
  <c r="Y74" i="3"/>
  <c r="J74" i="3"/>
  <c r="AQ74" i="3" s="1"/>
  <c r="F74" i="3"/>
  <c r="AP73" i="3"/>
  <c r="AO73" i="3"/>
  <c r="AN73" i="3"/>
  <c r="AM73" i="3"/>
  <c r="AD73" i="3"/>
  <c r="AC73" i="3"/>
  <c r="Z73" i="3"/>
  <c r="Y73" i="3"/>
  <c r="J73" i="3"/>
  <c r="AQ73" i="3" s="1"/>
  <c r="F73" i="3"/>
  <c r="AP72" i="3"/>
  <c r="AO72" i="3"/>
  <c r="AN72" i="3"/>
  <c r="AM72" i="3"/>
  <c r="AD72" i="3"/>
  <c r="AC72" i="3"/>
  <c r="Z72" i="3"/>
  <c r="Y72" i="3"/>
  <c r="J72" i="3"/>
  <c r="AE72" i="3" s="1"/>
  <c r="F72" i="3"/>
  <c r="AP71" i="3"/>
  <c r="AO71" i="3"/>
  <c r="AN71" i="3"/>
  <c r="AM71" i="3"/>
  <c r="AD71" i="3"/>
  <c r="AC71" i="3"/>
  <c r="Z71" i="3"/>
  <c r="Y71" i="3"/>
  <c r="J71" i="3"/>
  <c r="AE71" i="3" s="1"/>
  <c r="F71" i="3"/>
  <c r="AP70" i="3"/>
  <c r="AO70" i="3"/>
  <c r="AN70" i="3"/>
  <c r="AM70" i="3"/>
  <c r="AD70" i="3"/>
  <c r="AC70" i="3"/>
  <c r="Z70" i="3"/>
  <c r="J70" i="3"/>
  <c r="AQ70" i="3" s="1"/>
  <c r="F70" i="3"/>
  <c r="AP69" i="3"/>
  <c r="AO69" i="3"/>
  <c r="AN69" i="3"/>
  <c r="AM69" i="3"/>
  <c r="AD69" i="3"/>
  <c r="AC69" i="3"/>
  <c r="Z69" i="3"/>
  <c r="Y69" i="3"/>
  <c r="J69" i="3"/>
  <c r="AE69" i="3" s="1"/>
  <c r="F69" i="3"/>
  <c r="AP68" i="3"/>
  <c r="AO68" i="3"/>
  <c r="AN68" i="3"/>
  <c r="AM68" i="3"/>
  <c r="AD68" i="3"/>
  <c r="AC68" i="3"/>
  <c r="Z68" i="3"/>
  <c r="Y68" i="3"/>
  <c r="J68" i="3"/>
  <c r="AQ68" i="3" s="1"/>
  <c r="F68" i="3"/>
  <c r="AP67" i="3"/>
  <c r="AO67" i="3"/>
  <c r="AN67" i="3"/>
  <c r="AM67" i="3"/>
  <c r="AD67" i="3"/>
  <c r="AC67" i="3"/>
  <c r="Z67" i="3"/>
  <c r="Y67" i="3"/>
  <c r="J67" i="3"/>
  <c r="AQ67" i="3" s="1"/>
  <c r="F67" i="3"/>
  <c r="AP66" i="3"/>
  <c r="AO66" i="3"/>
  <c r="AN66" i="3"/>
  <c r="AM66" i="3"/>
  <c r="AD66" i="3"/>
  <c r="AC66" i="3"/>
  <c r="Z66" i="3"/>
  <c r="Y66" i="3"/>
  <c r="J66" i="3"/>
  <c r="AE66" i="3" s="1"/>
  <c r="F66" i="3"/>
  <c r="AP65" i="3"/>
  <c r="AO65" i="3"/>
  <c r="AN65" i="3"/>
  <c r="AM65" i="3"/>
  <c r="AD65" i="3"/>
  <c r="AC65" i="3"/>
  <c r="Z65" i="3"/>
  <c r="Y65" i="3"/>
  <c r="J65" i="3"/>
  <c r="AQ65" i="3" s="1"/>
  <c r="F65" i="3"/>
  <c r="AP64" i="3"/>
  <c r="AO64" i="3"/>
  <c r="AN64" i="3"/>
  <c r="AM64" i="3"/>
  <c r="AD64" i="3"/>
  <c r="AC64" i="3"/>
  <c r="Z64" i="3"/>
  <c r="Y64" i="3"/>
  <c r="J64" i="3"/>
  <c r="AE64" i="3" s="1"/>
  <c r="F64" i="3"/>
  <c r="AP40" i="3"/>
  <c r="AO40" i="3"/>
  <c r="AN40" i="3"/>
  <c r="AM40" i="3"/>
  <c r="AD40" i="3"/>
  <c r="AC40" i="3"/>
  <c r="Z40" i="3"/>
  <c r="Y40" i="3"/>
  <c r="J40" i="3"/>
  <c r="AE40" i="3" s="1"/>
  <c r="F40" i="3"/>
  <c r="AP63" i="3"/>
  <c r="AO63" i="3"/>
  <c r="AN63" i="3"/>
  <c r="AM63" i="3"/>
  <c r="AD63" i="3"/>
  <c r="AC63" i="3"/>
  <c r="Z63" i="3"/>
  <c r="Y63" i="3"/>
  <c r="J63" i="3"/>
  <c r="AE63" i="3" s="1"/>
  <c r="F63" i="3"/>
  <c r="AP62" i="3"/>
  <c r="AO62" i="3"/>
  <c r="AN62" i="3"/>
  <c r="AM62" i="3"/>
  <c r="AD62" i="3"/>
  <c r="AC62" i="3"/>
  <c r="Z62" i="3"/>
  <c r="Y62" i="3"/>
  <c r="J62" i="3"/>
  <c r="AQ62" i="3" s="1"/>
  <c r="F62" i="3"/>
  <c r="AP61" i="3"/>
  <c r="AO61" i="3"/>
  <c r="AN61" i="3"/>
  <c r="AM61" i="3"/>
  <c r="AD61" i="3"/>
  <c r="AC61" i="3"/>
  <c r="Z61" i="3"/>
  <c r="Y61" i="3"/>
  <c r="J61" i="3"/>
  <c r="AQ61" i="3" s="1"/>
  <c r="F61" i="3"/>
  <c r="AP60" i="3"/>
  <c r="AO60" i="3"/>
  <c r="AN60" i="3"/>
  <c r="AM60" i="3"/>
  <c r="AD60" i="3"/>
  <c r="AC60" i="3"/>
  <c r="Z60" i="3"/>
  <c r="Y60" i="3"/>
  <c r="J60" i="3"/>
  <c r="AQ60" i="3" s="1"/>
  <c r="F60" i="3"/>
  <c r="AP59" i="3"/>
  <c r="AO59" i="3"/>
  <c r="AN59" i="3"/>
  <c r="AM59" i="3"/>
  <c r="AD59" i="3"/>
  <c r="AC59" i="3"/>
  <c r="Z59" i="3"/>
  <c r="Y59" i="3"/>
  <c r="J59" i="3"/>
  <c r="AQ59" i="3" s="1"/>
  <c r="F59" i="3"/>
  <c r="AP58" i="3"/>
  <c r="AO58" i="3"/>
  <c r="AN58" i="3"/>
  <c r="AM58" i="3"/>
  <c r="AD58" i="3"/>
  <c r="AC58" i="3"/>
  <c r="Z58" i="3"/>
  <c r="Y58" i="3"/>
  <c r="J58" i="3"/>
  <c r="AE58" i="3" s="1"/>
  <c r="F58" i="3"/>
  <c r="AP57" i="3"/>
  <c r="AO57" i="3"/>
  <c r="AN57" i="3"/>
  <c r="AM57" i="3"/>
  <c r="AD57" i="3"/>
  <c r="AC57" i="3"/>
  <c r="Z57" i="3"/>
  <c r="Y57" i="3"/>
  <c r="J57" i="3"/>
  <c r="AE57" i="3" s="1"/>
  <c r="F57" i="3"/>
  <c r="AP56" i="3"/>
  <c r="AO56" i="3"/>
  <c r="AN56" i="3"/>
  <c r="AM56" i="3"/>
  <c r="AD56" i="3"/>
  <c r="AC56" i="3"/>
  <c r="Z56" i="3"/>
  <c r="Y56" i="3"/>
  <c r="J56" i="3"/>
  <c r="AE56" i="3" s="1"/>
  <c r="F56" i="3"/>
  <c r="AP55" i="3"/>
  <c r="AO55" i="3"/>
  <c r="AN55" i="3"/>
  <c r="AM55" i="3"/>
  <c r="AD55" i="3"/>
  <c r="AC55" i="3"/>
  <c r="Z55" i="3"/>
  <c r="Y55" i="3"/>
  <c r="J55" i="3"/>
  <c r="AQ55" i="3" s="1"/>
  <c r="F55" i="3"/>
  <c r="AP54" i="3"/>
  <c r="AO54" i="3"/>
  <c r="AN54" i="3"/>
  <c r="AM54" i="3"/>
  <c r="AD54" i="3"/>
  <c r="AC54" i="3"/>
  <c r="Z54" i="3"/>
  <c r="Y54" i="3"/>
  <c r="J54" i="3"/>
  <c r="AQ54" i="3" s="1"/>
  <c r="F54" i="3"/>
  <c r="AP53" i="3"/>
  <c r="AO53" i="3"/>
  <c r="AN53" i="3"/>
  <c r="AM53" i="3"/>
  <c r="AD53" i="3"/>
  <c r="AC53" i="3"/>
  <c r="Z53" i="3"/>
  <c r="Y53" i="3"/>
  <c r="J53" i="3"/>
  <c r="AQ53" i="3" s="1"/>
  <c r="F53" i="3"/>
  <c r="AP52" i="3"/>
  <c r="AO52" i="3"/>
  <c r="AN52" i="3"/>
  <c r="AM52" i="3"/>
  <c r="AD52" i="3"/>
  <c r="AC52" i="3"/>
  <c r="Z52" i="3"/>
  <c r="Y52" i="3"/>
  <c r="J52" i="3"/>
  <c r="AQ52" i="3" s="1"/>
  <c r="F52" i="3"/>
  <c r="AP51" i="3"/>
  <c r="AO51" i="3"/>
  <c r="AN51" i="3"/>
  <c r="AM51" i="3"/>
  <c r="AD51" i="3"/>
  <c r="AC51" i="3"/>
  <c r="Z51" i="3"/>
  <c r="Y51" i="3"/>
  <c r="J51" i="3"/>
  <c r="AQ51" i="3" s="1"/>
  <c r="F51" i="3"/>
  <c r="AP50" i="3"/>
  <c r="AO50" i="3"/>
  <c r="AN50" i="3"/>
  <c r="AM50" i="3"/>
  <c r="AD50" i="3"/>
  <c r="AC50" i="3"/>
  <c r="Z50" i="3"/>
  <c r="Y50" i="3"/>
  <c r="J50" i="3"/>
  <c r="AE50" i="3" s="1"/>
  <c r="F50" i="3"/>
  <c r="AP49" i="3"/>
  <c r="AO49" i="3"/>
  <c r="AN49" i="3"/>
  <c r="AM49" i="3"/>
  <c r="AD49" i="3"/>
  <c r="AC49" i="3"/>
  <c r="Z49" i="3"/>
  <c r="Y49" i="3"/>
  <c r="J49" i="3"/>
  <c r="AE49" i="3" s="1"/>
  <c r="F49" i="3"/>
  <c r="AP48" i="3"/>
  <c r="AO48" i="3"/>
  <c r="AN48" i="3"/>
  <c r="AM48" i="3"/>
  <c r="AD48" i="3"/>
  <c r="AC48" i="3"/>
  <c r="Z48" i="3"/>
  <c r="Y48" i="3"/>
  <c r="J48" i="3"/>
  <c r="AQ48" i="3" s="1"/>
  <c r="F48" i="3"/>
  <c r="AP47" i="3"/>
  <c r="AO47" i="3"/>
  <c r="AN47" i="3"/>
  <c r="AM47" i="3"/>
  <c r="AD47" i="3"/>
  <c r="AC47" i="3"/>
  <c r="Z47" i="3"/>
  <c r="Y47" i="3"/>
  <c r="J47" i="3"/>
  <c r="AQ47" i="3" s="1"/>
  <c r="F47" i="3"/>
  <c r="AP46" i="3"/>
  <c r="AO46" i="3"/>
  <c r="AN46" i="3"/>
  <c r="AM46" i="3"/>
  <c r="AD46" i="3"/>
  <c r="AC46" i="3"/>
  <c r="Z46" i="3"/>
  <c r="Y46" i="3"/>
  <c r="J46" i="3"/>
  <c r="AE46" i="3" s="1"/>
  <c r="F46" i="3"/>
  <c r="AP45" i="3"/>
  <c r="AO45" i="3"/>
  <c r="AN45" i="3"/>
  <c r="AM45" i="3"/>
  <c r="AD45" i="3"/>
  <c r="AC45" i="3"/>
  <c r="Z45" i="3"/>
  <c r="Y45" i="3"/>
  <c r="J45" i="3"/>
  <c r="AQ45" i="3" s="1"/>
  <c r="F45" i="3"/>
  <c r="AP44" i="3"/>
  <c r="AO44" i="3"/>
  <c r="AN44" i="3"/>
  <c r="AM44" i="3"/>
  <c r="AD44" i="3"/>
  <c r="AC44" i="3"/>
  <c r="Z44" i="3"/>
  <c r="Y44" i="3"/>
  <c r="J44" i="3"/>
  <c r="AE44" i="3" s="1"/>
  <c r="F44" i="3"/>
  <c r="AP43" i="3"/>
  <c r="AO43" i="3"/>
  <c r="AN43" i="3"/>
  <c r="AM43" i="3"/>
  <c r="AD43" i="3"/>
  <c r="AC43" i="3"/>
  <c r="Z43" i="3"/>
  <c r="Y43" i="3"/>
  <c r="J43" i="3"/>
  <c r="AQ43" i="3" s="1"/>
  <c r="F43" i="3"/>
  <c r="AP42" i="3"/>
  <c r="AO42" i="3"/>
  <c r="AN42" i="3"/>
  <c r="AM42" i="3"/>
  <c r="AD42" i="3"/>
  <c r="AC42" i="3"/>
  <c r="Z42" i="3"/>
  <c r="Y42" i="3"/>
  <c r="J42" i="3"/>
  <c r="AQ42" i="3" s="1"/>
  <c r="F42" i="3"/>
  <c r="AP41" i="3"/>
  <c r="AO41" i="3"/>
  <c r="AN41" i="3"/>
  <c r="AM41" i="3"/>
  <c r="AD41" i="3"/>
  <c r="AC41" i="3"/>
  <c r="Z41" i="3"/>
  <c r="Y41" i="3"/>
  <c r="J41" i="3"/>
  <c r="AQ41" i="3" s="1"/>
  <c r="F41" i="3"/>
  <c r="AP39" i="3"/>
  <c r="AO39" i="3"/>
  <c r="AN39" i="3"/>
  <c r="AM39" i="3"/>
  <c r="AD39" i="3"/>
  <c r="AC39" i="3"/>
  <c r="Z39" i="3"/>
  <c r="Y39" i="3"/>
  <c r="J39" i="3"/>
  <c r="AE39" i="3" s="1"/>
  <c r="F39" i="3"/>
  <c r="AP38" i="3"/>
  <c r="AO38" i="3"/>
  <c r="AN38" i="3"/>
  <c r="AM38" i="3"/>
  <c r="AD38" i="3"/>
  <c r="AC38" i="3"/>
  <c r="Z38" i="3"/>
  <c r="Y38" i="3"/>
  <c r="J38" i="3"/>
  <c r="AE38" i="3" s="1"/>
  <c r="F38" i="3"/>
  <c r="AP37" i="3"/>
  <c r="AO37" i="3"/>
  <c r="AN37" i="3"/>
  <c r="AM37" i="3"/>
  <c r="AD37" i="3"/>
  <c r="AC37" i="3"/>
  <c r="Z37" i="3"/>
  <c r="Y37" i="3"/>
  <c r="J37" i="3"/>
  <c r="AE37" i="3" s="1"/>
  <c r="F37" i="3"/>
  <c r="AP36" i="3"/>
  <c r="AO36" i="3"/>
  <c r="AN36" i="3"/>
  <c r="AM36" i="3"/>
  <c r="AD36" i="3"/>
  <c r="AC36" i="3"/>
  <c r="Z36" i="3"/>
  <c r="Y36" i="3"/>
  <c r="J36" i="3"/>
  <c r="AE36" i="3" s="1"/>
  <c r="F36" i="3"/>
  <c r="AP35" i="3"/>
  <c r="AO35" i="3"/>
  <c r="AN35" i="3"/>
  <c r="AM35" i="3"/>
  <c r="AD35" i="3"/>
  <c r="AC35" i="3"/>
  <c r="Z35" i="3"/>
  <c r="Y35" i="3"/>
  <c r="J35" i="3"/>
  <c r="AQ35" i="3" s="1"/>
  <c r="F35" i="3"/>
  <c r="AP34" i="3"/>
  <c r="AO34" i="3"/>
  <c r="AN34" i="3"/>
  <c r="AM34" i="3"/>
  <c r="AD34" i="3"/>
  <c r="AC34" i="3"/>
  <c r="Z34" i="3"/>
  <c r="Y34" i="3"/>
  <c r="J34" i="3"/>
  <c r="AE34" i="3" s="1"/>
  <c r="F34" i="3"/>
  <c r="AP33" i="3"/>
  <c r="AO33" i="3"/>
  <c r="AN33" i="3"/>
  <c r="AM33" i="3"/>
  <c r="AD33" i="3"/>
  <c r="AC33" i="3"/>
  <c r="Z33" i="3"/>
  <c r="Y33" i="3"/>
  <c r="J33" i="3"/>
  <c r="AE33" i="3" s="1"/>
  <c r="F33" i="3"/>
  <c r="AP32" i="3"/>
  <c r="AO32" i="3"/>
  <c r="AN32" i="3"/>
  <c r="AM32" i="3"/>
  <c r="AD32" i="3"/>
  <c r="AC32" i="3"/>
  <c r="Z32" i="3"/>
  <c r="Y32" i="3"/>
  <c r="J32" i="3"/>
  <c r="AE32" i="3" s="1"/>
  <c r="F32" i="3"/>
  <c r="AP31" i="3"/>
  <c r="AO31" i="3"/>
  <c r="AN31" i="3"/>
  <c r="AM31" i="3"/>
  <c r="AD31" i="3"/>
  <c r="AC31" i="3"/>
  <c r="Z31" i="3"/>
  <c r="Y31" i="3"/>
  <c r="J31" i="3"/>
  <c r="AQ31" i="3" s="1"/>
  <c r="F31" i="3"/>
  <c r="AP30" i="3"/>
  <c r="AO30" i="3"/>
  <c r="AN30" i="3"/>
  <c r="AM30" i="3"/>
  <c r="AD30" i="3"/>
  <c r="AC30" i="3"/>
  <c r="Z30" i="3"/>
  <c r="Y30" i="3"/>
  <c r="J30" i="3"/>
  <c r="AE30" i="3" s="1"/>
  <c r="F30" i="3"/>
  <c r="AP29" i="3"/>
  <c r="AO29" i="3"/>
  <c r="AN29" i="3"/>
  <c r="AM29" i="3"/>
  <c r="AD29" i="3"/>
  <c r="AC29" i="3"/>
  <c r="Z29" i="3"/>
  <c r="Y29" i="3"/>
  <c r="J29" i="3"/>
  <c r="AQ29" i="3" s="1"/>
  <c r="F29" i="3"/>
  <c r="AP28" i="3"/>
  <c r="AO28" i="3"/>
  <c r="AN28" i="3"/>
  <c r="AM28" i="3"/>
  <c r="AD28" i="3"/>
  <c r="AC28" i="3"/>
  <c r="Z28" i="3"/>
  <c r="Y28" i="3"/>
  <c r="J28" i="3"/>
  <c r="AE28" i="3" s="1"/>
  <c r="F28" i="3"/>
  <c r="AP27" i="3"/>
  <c r="AO27" i="3"/>
  <c r="AN27" i="3"/>
  <c r="AM27" i="3"/>
  <c r="AD27" i="3"/>
  <c r="AC27" i="3"/>
  <c r="Z27" i="3"/>
  <c r="Y27" i="3"/>
  <c r="J27" i="3"/>
  <c r="AE27" i="3" s="1"/>
  <c r="F27" i="3"/>
  <c r="AP26" i="3"/>
  <c r="AO26" i="3"/>
  <c r="AN26" i="3"/>
  <c r="AM26" i="3"/>
  <c r="AD26" i="3"/>
  <c r="AC26" i="3"/>
  <c r="Z26" i="3"/>
  <c r="Y26" i="3"/>
  <c r="J26" i="3"/>
  <c r="AQ26" i="3" s="1"/>
  <c r="F26" i="3"/>
  <c r="AP25" i="3"/>
  <c r="AO25" i="3"/>
  <c r="AN25" i="3"/>
  <c r="AM25" i="3"/>
  <c r="AD25" i="3"/>
  <c r="AC25" i="3"/>
  <c r="Z25" i="3"/>
  <c r="Y25" i="3"/>
  <c r="J25" i="3"/>
  <c r="AQ25" i="3" s="1"/>
  <c r="F25" i="3"/>
  <c r="AP24" i="3"/>
  <c r="AO24" i="3"/>
  <c r="AN24" i="3"/>
  <c r="AM24" i="3"/>
  <c r="AD24" i="3"/>
  <c r="AC24" i="3"/>
  <c r="Z24" i="3"/>
  <c r="Y24" i="3"/>
  <c r="J24" i="3"/>
  <c r="AE24" i="3" s="1"/>
  <c r="F24" i="3"/>
  <c r="AP23" i="3"/>
  <c r="AO23" i="3"/>
  <c r="AN23" i="3"/>
  <c r="AM23" i="3"/>
  <c r="AD23" i="3"/>
  <c r="AC23" i="3"/>
  <c r="Z23" i="3"/>
  <c r="Y23" i="3"/>
  <c r="J23" i="3"/>
  <c r="AQ23" i="3" s="1"/>
  <c r="F23" i="3"/>
  <c r="AP22" i="3"/>
  <c r="AO22" i="3"/>
  <c r="AN22" i="3"/>
  <c r="AM22" i="3"/>
  <c r="AD22" i="3"/>
  <c r="AC22" i="3"/>
  <c r="Z22" i="3"/>
  <c r="Y22" i="3"/>
  <c r="J22" i="3"/>
  <c r="AQ22" i="3" s="1"/>
  <c r="F22" i="3"/>
  <c r="AP21" i="3"/>
  <c r="AO21" i="3"/>
  <c r="AN21" i="3"/>
  <c r="AM21" i="3"/>
  <c r="AD21" i="3"/>
  <c r="AC21" i="3"/>
  <c r="Z21" i="3"/>
  <c r="Y21" i="3"/>
  <c r="J21" i="3"/>
  <c r="AE21" i="3" s="1"/>
  <c r="F21" i="3"/>
  <c r="AP20" i="3"/>
  <c r="AO20" i="3"/>
  <c r="AN20" i="3"/>
  <c r="AM20" i="3"/>
  <c r="AD20" i="3"/>
  <c r="AC20" i="3"/>
  <c r="Z20" i="3"/>
  <c r="Y20" i="3"/>
  <c r="J20" i="3"/>
  <c r="AQ20" i="3" s="1"/>
  <c r="F20" i="3"/>
  <c r="AN19" i="3"/>
  <c r="AM19" i="3"/>
  <c r="AD19" i="3"/>
  <c r="AC19" i="3"/>
  <c r="Z19" i="3"/>
  <c r="Y19" i="3"/>
  <c r="J19" i="3"/>
  <c r="AQ19" i="3" s="1"/>
  <c r="F19" i="3"/>
  <c r="AN18" i="3"/>
  <c r="AM18" i="3"/>
  <c r="AD18" i="3"/>
  <c r="AC18" i="3"/>
  <c r="Z18" i="3"/>
  <c r="Y18" i="3"/>
  <c r="J18" i="3"/>
  <c r="AE18" i="3" s="1"/>
  <c r="F18" i="3"/>
  <c r="AN17" i="3"/>
  <c r="AM17" i="3"/>
  <c r="AD17" i="3"/>
  <c r="AC17" i="3"/>
  <c r="Z17" i="3"/>
  <c r="Y17" i="3"/>
  <c r="J17" i="3"/>
  <c r="AE17" i="3" s="1"/>
  <c r="F17" i="3"/>
  <c r="AN16" i="3"/>
  <c r="AM16" i="3"/>
  <c r="AD16" i="3"/>
  <c r="AC16" i="3"/>
  <c r="Z16" i="3"/>
  <c r="Y16" i="3"/>
  <c r="J16" i="3"/>
  <c r="AQ16" i="3" s="1"/>
  <c r="F16" i="3"/>
  <c r="AN15" i="3"/>
  <c r="AM15" i="3"/>
  <c r="AD15" i="3"/>
  <c r="AC15" i="3"/>
  <c r="Z15" i="3"/>
  <c r="Y15" i="3"/>
  <c r="J15" i="3"/>
  <c r="AE15" i="3" s="1"/>
  <c r="F15" i="3"/>
  <c r="AN117" i="3"/>
  <c r="AM117" i="3"/>
  <c r="AD117" i="3"/>
  <c r="AC117" i="3"/>
  <c r="Z117" i="3"/>
  <c r="Y117" i="3"/>
  <c r="J117" i="3"/>
  <c r="AQ117" i="3" s="1"/>
  <c r="F117" i="3"/>
  <c r="AN14" i="3"/>
  <c r="AM14" i="3"/>
  <c r="AD14" i="3"/>
  <c r="AC14" i="3"/>
  <c r="Z14" i="3"/>
  <c r="Y14" i="3"/>
  <c r="J14" i="3"/>
  <c r="AE14" i="3" s="1"/>
  <c r="F14" i="3"/>
  <c r="AN13" i="3"/>
  <c r="AM13" i="3"/>
  <c r="AD13" i="3"/>
  <c r="AC13" i="3"/>
  <c r="Z13" i="3"/>
  <c r="Y13" i="3"/>
  <c r="J13" i="3"/>
  <c r="AQ13" i="3" s="1"/>
  <c r="F13" i="3"/>
  <c r="AN12" i="3"/>
  <c r="AM12" i="3"/>
  <c r="AD12" i="3"/>
  <c r="AC12" i="3"/>
  <c r="Z12" i="3"/>
  <c r="Y12" i="3"/>
  <c r="J12" i="3"/>
  <c r="AQ12" i="3" s="1"/>
  <c r="F12" i="3"/>
  <c r="AN11" i="3"/>
  <c r="AM11" i="3"/>
  <c r="AD11" i="3"/>
  <c r="AC11" i="3"/>
  <c r="Z11" i="3"/>
  <c r="Y11" i="3"/>
  <c r="J11" i="3"/>
  <c r="AQ11" i="3" s="1"/>
  <c r="F11" i="3"/>
  <c r="AN10" i="3"/>
  <c r="AM10" i="3"/>
  <c r="AD10" i="3"/>
  <c r="AC10" i="3"/>
  <c r="Z10" i="3"/>
  <c r="Y10" i="3"/>
  <c r="J10" i="3"/>
  <c r="AQ10" i="3" s="1"/>
  <c r="F10" i="3"/>
  <c r="AN9" i="3"/>
  <c r="AM9" i="3"/>
  <c r="AD9" i="3"/>
  <c r="AC9" i="3"/>
  <c r="Z9" i="3"/>
  <c r="Y9" i="3"/>
  <c r="J9" i="3"/>
  <c r="AQ9" i="3" s="1"/>
  <c r="F9" i="3"/>
  <c r="AN8" i="3"/>
  <c r="AM8" i="3"/>
  <c r="AD8" i="3"/>
  <c r="AC8" i="3"/>
  <c r="Z8" i="3"/>
  <c r="Y8" i="3"/>
  <c r="J8" i="3"/>
  <c r="AQ8" i="3" s="1"/>
  <c r="F8" i="3"/>
  <c r="AN7" i="3"/>
  <c r="AM7" i="3"/>
  <c r="AD7" i="3"/>
  <c r="AC7" i="3"/>
  <c r="Z7" i="3"/>
  <c r="Y7" i="3"/>
  <c r="J7" i="3"/>
  <c r="AQ7" i="3" s="1"/>
  <c r="F7" i="3"/>
  <c r="AN6" i="3"/>
  <c r="AM6" i="3"/>
  <c r="AD6" i="3"/>
  <c r="AC6" i="3"/>
  <c r="Z6" i="3"/>
  <c r="Y6" i="3"/>
  <c r="J6" i="3"/>
  <c r="AQ6" i="3" s="1"/>
  <c r="F6" i="3"/>
  <c r="AN5" i="3"/>
  <c r="AM5" i="3"/>
  <c r="AD5" i="3"/>
  <c r="AC5" i="3"/>
  <c r="Z5" i="3"/>
  <c r="Y5" i="3"/>
  <c r="J5" i="3"/>
  <c r="AQ5" i="3" s="1"/>
  <c r="F5" i="3"/>
  <c r="AN4" i="3"/>
  <c r="AM4" i="3"/>
  <c r="AD4" i="3"/>
  <c r="AC4" i="3"/>
  <c r="Z4" i="3"/>
  <c r="Y4" i="3"/>
  <c r="J4" i="3"/>
  <c r="AQ4" i="3" s="1"/>
  <c r="F4" i="3"/>
  <c r="AN3" i="3"/>
  <c r="AM3" i="3"/>
  <c r="AD3" i="3"/>
  <c r="AC3" i="3"/>
  <c r="Z3" i="3"/>
  <c r="Y3" i="3"/>
  <c r="J3" i="3"/>
  <c r="AQ3" i="3" s="1"/>
  <c r="F3" i="3"/>
  <c r="AN2" i="3"/>
  <c r="AM2" i="3"/>
  <c r="AD2" i="3"/>
  <c r="AC2" i="3"/>
  <c r="Z2" i="3"/>
  <c r="Y2" i="3"/>
  <c r="J2" i="3"/>
  <c r="AQ2" i="3" s="1"/>
  <c r="F2" i="3"/>
  <c r="H38" i="4" l="1"/>
  <c r="E9" i="4"/>
  <c r="AJ75" i="3"/>
  <c r="AK75" i="3"/>
  <c r="AI75" i="3"/>
  <c r="AJ115" i="3"/>
  <c r="AI115" i="3"/>
  <c r="AK115" i="3"/>
  <c r="AJ125" i="3"/>
  <c r="AI125" i="3"/>
  <c r="AK125" i="3"/>
  <c r="AI121" i="3"/>
  <c r="AK121" i="3"/>
  <c r="AJ121" i="3"/>
  <c r="AI130" i="3"/>
  <c r="AK130" i="3"/>
  <c r="AJ130" i="3"/>
  <c r="AI77" i="3"/>
  <c r="AJ77" i="3"/>
  <c r="AK77" i="3"/>
  <c r="AK86" i="3"/>
  <c r="AJ86" i="3"/>
  <c r="AI86" i="3"/>
  <c r="AJ95" i="3"/>
  <c r="AI95" i="3"/>
  <c r="AK95" i="3"/>
  <c r="AI104" i="3"/>
  <c r="AJ104" i="3"/>
  <c r="AK104" i="3"/>
  <c r="AK113" i="3"/>
  <c r="AI113" i="3"/>
  <c r="AJ113" i="3"/>
  <c r="AJ9" i="3"/>
  <c r="AK9" i="3"/>
  <c r="AI9" i="3"/>
  <c r="AK32" i="3"/>
  <c r="AI32" i="3"/>
  <c r="AJ32" i="3"/>
  <c r="AK60" i="3"/>
  <c r="AI60" i="3"/>
  <c r="AJ60" i="3"/>
  <c r="AJ68" i="3"/>
  <c r="AI68" i="3"/>
  <c r="AK68" i="3"/>
  <c r="AI7" i="3"/>
  <c r="AJ7" i="3"/>
  <c r="AK7" i="3"/>
  <c r="AI15" i="3"/>
  <c r="AJ15" i="3"/>
  <c r="AK15" i="3"/>
  <c r="AJ25" i="3"/>
  <c r="AI25" i="3"/>
  <c r="AK25" i="3"/>
  <c r="AI34" i="3"/>
  <c r="AJ34" i="3"/>
  <c r="AK34" i="3"/>
  <c r="AI44" i="3"/>
  <c r="AJ44" i="3"/>
  <c r="AK44" i="3"/>
  <c r="AI53" i="3"/>
  <c r="AK53" i="3"/>
  <c r="AJ53" i="3"/>
  <c r="AK62" i="3"/>
  <c r="AJ62" i="3"/>
  <c r="AI62" i="3"/>
  <c r="AK70" i="3"/>
  <c r="AI70" i="3"/>
  <c r="AJ70" i="3"/>
  <c r="AI84" i="3"/>
  <c r="AJ84" i="3"/>
  <c r="AK84" i="3"/>
  <c r="AK111" i="3"/>
  <c r="AI111" i="3"/>
  <c r="AJ111" i="3"/>
  <c r="AI19" i="3"/>
  <c r="AJ19" i="3"/>
  <c r="AK19" i="3"/>
  <c r="AI49" i="3"/>
  <c r="AJ49" i="3"/>
  <c r="AK49" i="3"/>
  <c r="AI123" i="3"/>
  <c r="AJ123" i="3"/>
  <c r="AK123" i="3"/>
  <c r="AI132" i="3"/>
  <c r="AJ132" i="3"/>
  <c r="AK132" i="3"/>
  <c r="AK23" i="3"/>
  <c r="AJ23" i="3"/>
  <c r="AI23" i="3"/>
  <c r="AJ81" i="3"/>
  <c r="AK81" i="3"/>
  <c r="AI81" i="3"/>
  <c r="AL81" i="3" s="1"/>
  <c r="AJ90" i="3"/>
  <c r="AK90" i="3"/>
  <c r="AI90" i="3"/>
  <c r="AI108" i="3"/>
  <c r="AK108" i="3"/>
  <c r="AJ108" i="3"/>
  <c r="AK118" i="3"/>
  <c r="AI118" i="3"/>
  <c r="AJ118" i="3"/>
  <c r="AI127" i="3"/>
  <c r="AJ127" i="3"/>
  <c r="AK127" i="3"/>
  <c r="AI136" i="3"/>
  <c r="AJ136" i="3"/>
  <c r="AK136" i="3"/>
  <c r="AI21" i="3"/>
  <c r="AJ21" i="3"/>
  <c r="AK21" i="3"/>
  <c r="AK66" i="3"/>
  <c r="AI66" i="3"/>
  <c r="AJ66" i="3"/>
  <c r="AI17" i="3"/>
  <c r="AJ17" i="3"/>
  <c r="AK17" i="3"/>
  <c r="AI79" i="3"/>
  <c r="AK79" i="3"/>
  <c r="AJ79" i="3"/>
  <c r="AK88" i="3"/>
  <c r="AI88" i="3"/>
  <c r="AJ88" i="3"/>
  <c r="AK106" i="3"/>
  <c r="AI106" i="3"/>
  <c r="AJ106" i="3"/>
  <c r="AI134" i="3"/>
  <c r="AJ134" i="3"/>
  <c r="AK134" i="3"/>
  <c r="AI27" i="3"/>
  <c r="AJ27" i="3"/>
  <c r="AK27" i="3"/>
  <c r="AI36" i="3"/>
  <c r="AJ36" i="3"/>
  <c r="AK36" i="3"/>
  <c r="AI46" i="3"/>
  <c r="AJ46" i="3"/>
  <c r="AK46" i="3"/>
  <c r="AJ55" i="3"/>
  <c r="AK55" i="3"/>
  <c r="AI55" i="3"/>
  <c r="AI40" i="3"/>
  <c r="AJ40" i="3"/>
  <c r="AK40" i="3"/>
  <c r="AK39" i="3"/>
  <c r="AI39" i="3"/>
  <c r="AJ39" i="3"/>
  <c r="AK58" i="3"/>
  <c r="AI58" i="3"/>
  <c r="AJ58" i="3"/>
  <c r="Y394" i="3"/>
  <c r="Y389" i="3"/>
  <c r="Y378" i="3"/>
  <c r="Y375" i="3"/>
  <c r="Y373" i="3"/>
  <c r="Y353" i="3"/>
  <c r="Y400" i="3"/>
  <c r="Y384" i="3"/>
  <c r="Y374" i="3"/>
  <c r="Y361" i="3"/>
  <c r="Y359" i="3"/>
  <c r="Y355" i="3"/>
  <c r="Y390" i="3"/>
  <c r="Y386" i="3"/>
  <c r="Y385" i="3"/>
  <c r="Y360" i="3"/>
  <c r="Y402" i="3"/>
  <c r="Y401" i="3"/>
  <c r="Y357" i="3"/>
  <c r="Y356" i="3"/>
  <c r="Y414" i="3"/>
  <c r="Y406" i="3"/>
  <c r="Y403" i="3"/>
  <c r="Y407" i="3"/>
  <c r="Y405" i="3"/>
  <c r="Y368" i="3"/>
  <c r="Y408" i="3"/>
  <c r="Y418" i="3"/>
  <c r="Y396" i="3"/>
  <c r="Y398" i="3"/>
  <c r="Y419" i="3"/>
  <c r="Y395" i="3"/>
  <c r="Y383" i="3"/>
  <c r="Y381" i="3"/>
  <c r="Y379" i="3"/>
  <c r="Y364" i="3"/>
  <c r="Y352" i="3"/>
  <c r="Y392" i="3"/>
  <c r="Y391" i="3"/>
  <c r="Y382" i="3"/>
  <c r="Y380" i="3"/>
  <c r="Y372" i="3"/>
  <c r="Y363" i="3"/>
  <c r="Y350" i="3"/>
  <c r="Y348" i="3"/>
  <c r="Y399" i="3"/>
  <c r="Y393" i="3"/>
  <c r="Y388" i="3"/>
  <c r="Y387" i="3"/>
  <c r="Y377" i="3"/>
  <c r="Y376" i="3"/>
  <c r="Y362" i="3"/>
  <c r="Y354" i="3"/>
  <c r="Y351" i="3"/>
  <c r="Y349" i="3"/>
  <c r="Y415" i="3"/>
  <c r="Y371" i="3"/>
  <c r="Y365" i="3"/>
  <c r="Y416" i="3"/>
  <c r="Y409" i="3"/>
  <c r="Y404" i="3"/>
  <c r="Y410" i="3"/>
  <c r="Y411" i="3"/>
  <c r="Y417" i="3"/>
  <c r="Y413" i="3"/>
  <c r="Y367" i="3"/>
  <c r="Y366" i="3"/>
  <c r="Y369" i="3"/>
  <c r="Y412" i="3"/>
  <c r="Y358" i="3"/>
  <c r="Y370" i="3"/>
  <c r="Y397" i="3"/>
  <c r="AI42" i="3"/>
  <c r="AJ42" i="3"/>
  <c r="AK42" i="3"/>
  <c r="AI51" i="3"/>
  <c r="AJ51" i="3"/>
  <c r="AK51" i="3"/>
  <c r="AI97" i="3"/>
  <c r="AJ97" i="3"/>
  <c r="AK97" i="3"/>
  <c r="AI72" i="3"/>
  <c r="AJ72" i="3"/>
  <c r="AK72" i="3"/>
  <c r="AJ99" i="3"/>
  <c r="AI99" i="3"/>
  <c r="AK99" i="3"/>
  <c r="AI5" i="3"/>
  <c r="AJ5" i="3"/>
  <c r="AK5" i="3"/>
  <c r="AK14" i="3"/>
  <c r="AI14" i="3"/>
  <c r="AJ14" i="3"/>
  <c r="AI74" i="3"/>
  <c r="AK74" i="3"/>
  <c r="AJ74" i="3"/>
  <c r="AI83" i="3"/>
  <c r="AJ83" i="3"/>
  <c r="AK83" i="3"/>
  <c r="AI92" i="3"/>
  <c r="AJ92" i="3"/>
  <c r="AK92" i="3"/>
  <c r="AI101" i="3"/>
  <c r="AJ101" i="3"/>
  <c r="AK101" i="3"/>
  <c r="AI110" i="3"/>
  <c r="AJ110" i="3"/>
  <c r="AK110" i="3"/>
  <c r="AJ120" i="3"/>
  <c r="AK120" i="3"/>
  <c r="AI120" i="3"/>
  <c r="AK129" i="3"/>
  <c r="AI129" i="3"/>
  <c r="AJ129" i="3"/>
  <c r="AK48" i="3"/>
  <c r="AI48" i="3"/>
  <c r="AJ48" i="3"/>
  <c r="AI102" i="3"/>
  <c r="AJ102" i="3"/>
  <c r="AK102" i="3"/>
  <c r="AJ30" i="3"/>
  <c r="AK30" i="3"/>
  <c r="AI30" i="3"/>
  <c r="AK20" i="3"/>
  <c r="AI20" i="3"/>
  <c r="AJ20" i="3"/>
  <c r="AJ65" i="3"/>
  <c r="AK65" i="3"/>
  <c r="AI65" i="3"/>
  <c r="AJ76" i="3"/>
  <c r="AK76" i="3"/>
  <c r="AI76" i="3"/>
  <c r="AI94" i="3"/>
  <c r="AK94" i="3"/>
  <c r="AJ94" i="3"/>
  <c r="AI103" i="3"/>
  <c r="AJ103" i="3"/>
  <c r="AK103" i="3"/>
  <c r="AI112" i="3"/>
  <c r="AK112" i="3"/>
  <c r="AJ112" i="3"/>
  <c r="AI122" i="3"/>
  <c r="AJ122" i="3"/>
  <c r="AK122" i="3"/>
  <c r="AK131" i="3"/>
  <c r="AJ131" i="3"/>
  <c r="AI131" i="3"/>
  <c r="AI10" i="3"/>
  <c r="AJ10" i="3"/>
  <c r="AK10" i="3"/>
  <c r="AJ22" i="3"/>
  <c r="AK22" i="3"/>
  <c r="AI22" i="3"/>
  <c r="AJ59" i="3"/>
  <c r="AK59" i="3"/>
  <c r="AI59" i="3"/>
  <c r="AI67" i="3"/>
  <c r="AJ67" i="3"/>
  <c r="AK67" i="3"/>
  <c r="AI78" i="3"/>
  <c r="AK78" i="3"/>
  <c r="AJ78" i="3"/>
  <c r="AI87" i="3"/>
  <c r="AK87" i="3"/>
  <c r="AJ87" i="3"/>
  <c r="AJ96" i="3"/>
  <c r="AK96" i="3"/>
  <c r="AI96" i="3"/>
  <c r="AJ105" i="3"/>
  <c r="AK105" i="3"/>
  <c r="AI105" i="3"/>
  <c r="AI114" i="3"/>
  <c r="AJ114" i="3"/>
  <c r="AK114" i="3"/>
  <c r="AI124" i="3"/>
  <c r="AJ124" i="3"/>
  <c r="AK124" i="3"/>
  <c r="AJ133" i="3"/>
  <c r="AK133" i="3"/>
  <c r="AI133" i="3"/>
  <c r="AJ31" i="3"/>
  <c r="AK31" i="3"/>
  <c r="AI31" i="3"/>
  <c r="AK8" i="3"/>
  <c r="AI8" i="3"/>
  <c r="AJ8" i="3"/>
  <c r="AK52" i="3"/>
  <c r="AI52" i="3"/>
  <c r="AJ52" i="3"/>
  <c r="AI93" i="3"/>
  <c r="AJ93" i="3"/>
  <c r="AK93" i="3"/>
  <c r="AJ11" i="3"/>
  <c r="AK11" i="3"/>
  <c r="AI11" i="3"/>
  <c r="AJ3" i="3"/>
  <c r="AK3" i="3"/>
  <c r="AI3" i="3"/>
  <c r="AK12" i="3"/>
  <c r="AI12" i="3"/>
  <c r="AJ12" i="3"/>
  <c r="AJ29" i="3"/>
  <c r="AI29" i="3"/>
  <c r="AK29" i="3"/>
  <c r="AI38" i="3"/>
  <c r="AJ38" i="3"/>
  <c r="AK38" i="3"/>
  <c r="AJ85" i="3"/>
  <c r="AK85" i="3"/>
  <c r="AI85" i="3"/>
  <c r="AI18" i="3"/>
  <c r="AK18" i="3"/>
  <c r="AJ18" i="3"/>
  <c r="AI16" i="3"/>
  <c r="AJ16" i="3"/>
  <c r="AK16" i="3"/>
  <c r="AI24" i="3"/>
  <c r="AJ24" i="3"/>
  <c r="AK24" i="3"/>
  <c r="AI33" i="3"/>
  <c r="AJ33" i="3"/>
  <c r="AK33" i="3"/>
  <c r="AK43" i="3"/>
  <c r="AJ43" i="3"/>
  <c r="AI43" i="3"/>
  <c r="AI61" i="3"/>
  <c r="AJ61" i="3"/>
  <c r="AK61" i="3"/>
  <c r="AI69" i="3"/>
  <c r="AK69" i="3"/>
  <c r="AJ69" i="3"/>
  <c r="AJ71" i="3"/>
  <c r="AK71" i="3"/>
  <c r="AI71" i="3"/>
  <c r="AJ80" i="3"/>
  <c r="AK80" i="3"/>
  <c r="AI80" i="3"/>
  <c r="AI89" i="3"/>
  <c r="AK89" i="3"/>
  <c r="AJ89" i="3"/>
  <c r="AJ98" i="3"/>
  <c r="AK98" i="3"/>
  <c r="AI98" i="3"/>
  <c r="AI107" i="3"/>
  <c r="AJ107" i="3"/>
  <c r="AK107" i="3"/>
  <c r="AK116" i="3"/>
  <c r="AI116" i="3"/>
  <c r="AJ116" i="3"/>
  <c r="AJ126" i="3"/>
  <c r="AK126" i="3"/>
  <c r="AI126" i="3"/>
  <c r="AJ135" i="3"/>
  <c r="AK135" i="3"/>
  <c r="AI135" i="3"/>
  <c r="AI117" i="3"/>
  <c r="AJ117" i="3"/>
  <c r="AK117" i="3"/>
  <c r="AJ45" i="3"/>
  <c r="AK45" i="3"/>
  <c r="AI45" i="3"/>
  <c r="AK119" i="3"/>
  <c r="AI119" i="3"/>
  <c r="AJ119" i="3"/>
  <c r="AI128" i="3"/>
  <c r="AK128" i="3"/>
  <c r="AJ128" i="3"/>
  <c r="AI2" i="3"/>
  <c r="AJ2" i="3"/>
  <c r="AK2" i="3"/>
  <c r="AJ57" i="3"/>
  <c r="AI57" i="3"/>
  <c r="AK57" i="3"/>
  <c r="AJ41" i="3"/>
  <c r="AK41" i="3"/>
  <c r="AI41" i="3"/>
  <c r="AJ50" i="3"/>
  <c r="AK50" i="3"/>
  <c r="AI50" i="3"/>
  <c r="AK6" i="3"/>
  <c r="AJ6" i="3"/>
  <c r="AI6" i="3"/>
  <c r="AK26" i="3"/>
  <c r="AI26" i="3"/>
  <c r="AJ26" i="3"/>
  <c r="AI35" i="3"/>
  <c r="AK35" i="3"/>
  <c r="AJ35" i="3"/>
  <c r="AJ54" i="3"/>
  <c r="AK54" i="3"/>
  <c r="AI54" i="3"/>
  <c r="AJ63" i="3"/>
  <c r="AK63" i="3"/>
  <c r="AI63" i="3"/>
  <c r="AK73" i="3"/>
  <c r="AI73" i="3"/>
  <c r="AJ73" i="3"/>
  <c r="AI82" i="3"/>
  <c r="AJ82" i="3"/>
  <c r="AK82" i="3"/>
  <c r="AK91" i="3"/>
  <c r="AI91" i="3"/>
  <c r="AJ91" i="3"/>
  <c r="AK100" i="3"/>
  <c r="AI100" i="3"/>
  <c r="AJ100" i="3"/>
  <c r="AK109" i="3"/>
  <c r="AJ109" i="3"/>
  <c r="AI109" i="3"/>
  <c r="AI137" i="3"/>
  <c r="AJ137" i="3"/>
  <c r="AK137" i="3"/>
  <c r="AJ4" i="3"/>
  <c r="AK4" i="3"/>
  <c r="AI4" i="3"/>
  <c r="AJ13" i="3"/>
  <c r="AK13" i="3"/>
  <c r="AI13" i="3"/>
  <c r="AI28" i="3"/>
  <c r="AJ28" i="3"/>
  <c r="AK28" i="3"/>
  <c r="AI37" i="3"/>
  <c r="AJ37" i="3"/>
  <c r="AK37" i="3"/>
  <c r="AI47" i="3"/>
  <c r="AK47" i="3"/>
  <c r="AJ47" i="3"/>
  <c r="AI56" i="3"/>
  <c r="AJ56" i="3"/>
  <c r="AK56" i="3"/>
  <c r="AI64" i="3"/>
  <c r="AJ64" i="3"/>
  <c r="AK64" i="3"/>
  <c r="AQ79" i="3"/>
  <c r="AE75" i="3"/>
  <c r="AR75" i="3" s="1"/>
  <c r="AQ137" i="3"/>
  <c r="AE51" i="3"/>
  <c r="AR51" i="3" s="1"/>
  <c r="AQ130" i="3"/>
  <c r="AQ32" i="3"/>
  <c r="AQ17" i="3"/>
  <c r="AQ57" i="3"/>
  <c r="AQ132" i="3"/>
  <c r="AQ120" i="3"/>
  <c r="AE88" i="3"/>
  <c r="AR88" i="3" s="1"/>
  <c r="AE53" i="3"/>
  <c r="AR53" i="3" s="1"/>
  <c r="AQ112" i="3"/>
  <c r="AE90" i="3"/>
  <c r="AR90" i="3" s="1"/>
  <c r="AE45" i="3"/>
  <c r="AR45" i="3" s="1"/>
  <c r="AQ37" i="3"/>
  <c r="AQ15" i="3"/>
  <c r="AE42" i="3"/>
  <c r="AR42" i="3" s="1"/>
  <c r="AQ49" i="3"/>
  <c r="AQ28" i="3"/>
  <c r="AE131" i="3"/>
  <c r="AR131" i="3" s="1"/>
  <c r="AQ36" i="3"/>
  <c r="AQ44" i="3"/>
  <c r="AQ86" i="3"/>
  <c r="AQ118" i="3"/>
  <c r="AQ50" i="3"/>
  <c r="AQ38" i="3"/>
  <c r="AQ72" i="3"/>
  <c r="AR24" i="3"/>
  <c r="AR40" i="3"/>
  <c r="AE107" i="3"/>
  <c r="AR107" i="3" s="1"/>
  <c r="AQ124" i="3"/>
  <c r="AE116" i="3"/>
  <c r="AR116" i="3" s="1"/>
  <c r="AQ46" i="3"/>
  <c r="AE122" i="3"/>
  <c r="AR122" i="3" s="1"/>
  <c r="AQ14" i="3"/>
  <c r="AQ111" i="3"/>
  <c r="AE70" i="3"/>
  <c r="AR70" i="3" s="1"/>
  <c r="AE43" i="3"/>
  <c r="AR43" i="3" s="1"/>
  <c r="AE74" i="3"/>
  <c r="AR74" i="3" s="1"/>
  <c r="AE126" i="3"/>
  <c r="AR126" i="3" s="1"/>
  <c r="AE35" i="3"/>
  <c r="AR35" i="3" s="1"/>
  <c r="AQ102" i="3"/>
  <c r="AQ95" i="3"/>
  <c r="AR136" i="3"/>
  <c r="AR124" i="3"/>
  <c r="AE62" i="3"/>
  <c r="AR62" i="3" s="1"/>
  <c r="AE48" i="3"/>
  <c r="AR48" i="3" s="1"/>
  <c r="AQ33" i="3"/>
  <c r="AR86" i="3"/>
  <c r="AE119" i="3"/>
  <c r="AR119" i="3" s="1"/>
  <c r="AE2" i="3"/>
  <c r="AR2" i="3" s="1"/>
  <c r="AE85" i="3"/>
  <c r="AR85" i="3" s="1"/>
  <c r="AQ21" i="3"/>
  <c r="AR114" i="3"/>
  <c r="AR57" i="3"/>
  <c r="AQ34" i="3"/>
  <c r="AE128" i="3"/>
  <c r="AR128" i="3" s="1"/>
  <c r="AR56" i="3"/>
  <c r="AR49" i="3"/>
  <c r="AQ69" i="3"/>
  <c r="AQ94" i="3"/>
  <c r="AQ135" i="3"/>
  <c r="AE84" i="3"/>
  <c r="AR84" i="3" s="1"/>
  <c r="AQ92" i="3"/>
  <c r="AE8" i="3"/>
  <c r="AR8" i="3" s="1"/>
  <c r="AR32" i="3"/>
  <c r="AQ103" i="3"/>
  <c r="AR113" i="3"/>
  <c r="AR135" i="3"/>
  <c r="AR46" i="3"/>
  <c r="AE101" i="3"/>
  <c r="AR101" i="3" s="1"/>
  <c r="AR120" i="3"/>
  <c r="AE78" i="3"/>
  <c r="AR78" i="3" s="1"/>
  <c r="AE55" i="3"/>
  <c r="AR55" i="3" s="1"/>
  <c r="AR77" i="3"/>
  <c r="AR91" i="3"/>
  <c r="AR132" i="3"/>
  <c r="AE3" i="3"/>
  <c r="AR3" i="3" s="1"/>
  <c r="AR37" i="3"/>
  <c r="AR15" i="3"/>
  <c r="AE10" i="3"/>
  <c r="AR10" i="3" s="1"/>
  <c r="AQ93" i="3"/>
  <c r="AE73" i="3"/>
  <c r="AR73" i="3" s="1"/>
  <c r="AE108" i="3"/>
  <c r="AR108" i="3" s="1"/>
  <c r="AQ91" i="3"/>
  <c r="AE12" i="3"/>
  <c r="AR12" i="3" s="1"/>
  <c r="AQ58" i="3"/>
  <c r="AQ24" i="3"/>
  <c r="AQ71" i="3"/>
  <c r="AE80" i="3"/>
  <c r="AR80" i="3" s="1"/>
  <c r="AQ64" i="3"/>
  <c r="AR14" i="3"/>
  <c r="AR111" i="3"/>
  <c r="AE98" i="3"/>
  <c r="AR98" i="3" s="1"/>
  <c r="AE68" i="3"/>
  <c r="AR68" i="3" s="1"/>
  <c r="AQ56" i="3"/>
  <c r="AE41" i="3"/>
  <c r="AR41" i="3" s="1"/>
  <c r="AE19" i="3"/>
  <c r="AR19" i="3" s="1"/>
  <c r="AR28" i="3"/>
  <c r="AQ63" i="3"/>
  <c r="AR92" i="3"/>
  <c r="AQ125" i="3"/>
  <c r="AR21" i="3"/>
  <c r="AR123" i="3"/>
  <c r="AR106" i="3"/>
  <c r="AR115" i="3"/>
  <c r="AR130" i="3"/>
  <c r="AR50" i="3"/>
  <c r="AE96" i="3"/>
  <c r="AR96" i="3" s="1"/>
  <c r="AE6" i="3"/>
  <c r="AR6" i="3" s="1"/>
  <c r="AE16" i="3"/>
  <c r="AR16" i="3" s="1"/>
  <c r="AE81" i="3"/>
  <c r="AR81" i="3" s="1"/>
  <c r="AR118" i="3"/>
  <c r="AR63" i="3"/>
  <c r="AQ40" i="3"/>
  <c r="AR109" i="3"/>
  <c r="AR112" i="3"/>
  <c r="AR39" i="3"/>
  <c r="AE47" i="3"/>
  <c r="AR47" i="3" s="1"/>
  <c r="AE25" i="3"/>
  <c r="AR25" i="3" s="1"/>
  <c r="AE22" i="3"/>
  <c r="AR22" i="3" s="1"/>
  <c r="AR18" i="3"/>
  <c r="AR36" i="3"/>
  <c r="AR79" i="3"/>
  <c r="AR72" i="3"/>
  <c r="AQ77" i="3"/>
  <c r="AR133" i="3"/>
  <c r="AE4" i="3"/>
  <c r="AR4" i="3" s="1"/>
  <c r="AR69" i="3"/>
  <c r="AR103" i="3"/>
  <c r="AE100" i="3"/>
  <c r="AR100" i="3" s="1"/>
  <c r="AR44" i="3"/>
  <c r="AR66" i="3"/>
  <c r="AR93" i="3"/>
  <c r="AR104" i="3"/>
  <c r="AE127" i="3"/>
  <c r="AR127" i="3" s="1"/>
  <c r="AR30" i="3"/>
  <c r="AR38" i="3"/>
  <c r="AQ39" i="3"/>
  <c r="AQ18" i="3"/>
  <c r="AE29" i="3"/>
  <c r="AR29" i="3" s="1"/>
  <c r="AE23" i="3"/>
  <c r="AR23" i="3" s="1"/>
  <c r="AR33" i="3"/>
  <c r="AR58" i="3"/>
  <c r="AE65" i="3"/>
  <c r="AR65" i="3" s="1"/>
  <c r="AR94" i="3"/>
  <c r="AR137" i="3"/>
  <c r="AR95" i="3"/>
  <c r="AE61" i="3"/>
  <c r="AR61" i="3" s="1"/>
  <c r="AQ136" i="3"/>
  <c r="AR17" i="3"/>
  <c r="AR34" i="3"/>
  <c r="AR27" i="3"/>
  <c r="AR125" i="3"/>
  <c r="AR64" i="3"/>
  <c r="AR102" i="3"/>
  <c r="AR76" i="3"/>
  <c r="AR71" i="3"/>
  <c r="AR97" i="3"/>
  <c r="AQ123" i="3"/>
  <c r="AE134" i="3"/>
  <c r="AR134" i="3" s="1"/>
  <c r="AQ114" i="3"/>
  <c r="AE26" i="3"/>
  <c r="AR26" i="3" s="1"/>
  <c r="AQ30" i="3"/>
  <c r="AE83" i="3"/>
  <c r="AR83" i="3" s="1"/>
  <c r="AE60" i="3"/>
  <c r="AR60" i="3" s="1"/>
  <c r="AE67" i="3"/>
  <c r="AR67" i="3" s="1"/>
  <c r="AE105" i="3"/>
  <c r="AR105" i="3" s="1"/>
  <c r="AE110" i="3"/>
  <c r="AR110" i="3" s="1"/>
  <c r="AQ115" i="3"/>
  <c r="AE129" i="3"/>
  <c r="AR129" i="3" s="1"/>
  <c r="AE31" i="3"/>
  <c r="AR31" i="3" s="1"/>
  <c r="AE52" i="3"/>
  <c r="AR52" i="3" s="1"/>
  <c r="AE87" i="3"/>
  <c r="AR87" i="3" s="1"/>
  <c r="AQ97" i="3"/>
  <c r="AE121" i="3"/>
  <c r="AR121" i="3" s="1"/>
  <c r="AQ104" i="3"/>
  <c r="AE11" i="3"/>
  <c r="AR11" i="3" s="1"/>
  <c r="AE9" i="3"/>
  <c r="AR9" i="3" s="1"/>
  <c r="AQ27" i="3"/>
  <c r="AQ106" i="3"/>
  <c r="AE13" i="3"/>
  <c r="AR13" i="3" s="1"/>
  <c r="AE20" i="3"/>
  <c r="AR20" i="3" s="1"/>
  <c r="AE59" i="3"/>
  <c r="AR59" i="3" s="1"/>
  <c r="AQ66" i="3"/>
  <c r="AQ76" i="3"/>
  <c r="AE99" i="3"/>
  <c r="AR99" i="3" s="1"/>
  <c r="AQ113" i="3"/>
  <c r="AE5" i="3"/>
  <c r="AR5" i="3" s="1"/>
  <c r="AE7" i="3"/>
  <c r="AR7" i="3" s="1"/>
  <c r="AQ109" i="3"/>
  <c r="AQ133" i="3"/>
  <c r="AE89" i="3"/>
  <c r="AR89" i="3" s="1"/>
  <c r="AE117" i="3"/>
  <c r="AR117" i="3" s="1"/>
  <c r="AE82" i="3"/>
  <c r="AR82" i="3" s="1"/>
  <c r="AE54" i="3"/>
  <c r="AR54" i="3" s="1"/>
  <c r="E15" i="4"/>
  <c r="G38" i="4"/>
  <c r="G80" i="4"/>
  <c r="H56" i="4"/>
  <c r="H57" i="4"/>
  <c r="F80" i="4"/>
  <c r="K55" i="4"/>
  <c r="G79" i="4"/>
  <c r="AL126" i="3" l="1"/>
  <c r="AL71" i="3"/>
  <c r="AL3" i="3"/>
  <c r="AL133" i="3"/>
  <c r="AL85" i="3"/>
  <c r="AL63" i="3"/>
  <c r="AL41" i="3"/>
  <c r="AL96" i="3"/>
  <c r="AL76" i="3"/>
  <c r="AL66" i="3"/>
  <c r="AL90" i="3"/>
  <c r="AL86" i="3"/>
  <c r="AL75" i="3"/>
  <c r="AL109" i="3"/>
  <c r="AL54" i="3"/>
  <c r="AL135" i="3"/>
  <c r="AL80" i="3"/>
  <c r="AL12" i="3"/>
  <c r="AL31" i="3"/>
  <c r="AL131" i="3"/>
  <c r="AL65" i="3"/>
  <c r="AL17" i="3"/>
  <c r="AL130" i="3"/>
  <c r="AL73" i="3"/>
  <c r="AL52" i="3"/>
  <c r="AL136" i="3"/>
  <c r="AL127" i="3"/>
  <c r="AL132" i="3"/>
  <c r="AL15" i="3"/>
  <c r="AL121" i="3"/>
  <c r="AL62" i="3"/>
  <c r="AL103" i="3"/>
  <c r="AL114" i="3"/>
  <c r="AL40" i="3"/>
  <c r="AL93" i="3"/>
  <c r="AL72" i="3"/>
  <c r="AL82" i="3"/>
  <c r="AL107" i="3"/>
  <c r="AL61" i="3"/>
  <c r="AL92" i="3"/>
  <c r="AL28" i="3"/>
  <c r="AL30" i="3"/>
  <c r="AL21" i="3"/>
  <c r="AL6" i="3"/>
  <c r="AL59" i="3"/>
  <c r="AL102" i="3"/>
  <c r="AL23" i="3"/>
  <c r="AL9" i="3"/>
  <c r="AL69" i="3"/>
  <c r="AL77" i="3"/>
  <c r="AL13" i="3"/>
  <c r="AL119" i="3"/>
  <c r="AL106" i="3"/>
  <c r="AL84" i="3"/>
  <c r="AL25" i="3"/>
  <c r="AL11" i="3"/>
  <c r="AL124" i="3"/>
  <c r="AL101" i="3"/>
  <c r="AL134" i="3"/>
  <c r="AL34" i="3"/>
  <c r="AL4" i="3"/>
  <c r="AL50" i="3"/>
  <c r="AL45" i="3"/>
  <c r="AL98" i="3"/>
  <c r="AL43" i="3"/>
  <c r="AL105" i="3"/>
  <c r="AL22" i="3"/>
  <c r="AL48" i="3"/>
  <c r="AL55" i="3"/>
  <c r="AL88" i="3"/>
  <c r="AL70" i="3"/>
  <c r="AL113" i="3"/>
  <c r="AL39" i="3"/>
  <c r="AL128" i="3"/>
  <c r="AL29" i="3"/>
  <c r="AL8" i="3"/>
  <c r="AL129" i="3"/>
  <c r="AL118" i="3"/>
  <c r="AL125" i="3"/>
  <c r="AL67" i="3"/>
  <c r="AL64" i="3"/>
  <c r="AL56" i="3"/>
  <c r="AL137" i="3"/>
  <c r="AL117" i="3"/>
  <c r="AL89" i="3"/>
  <c r="AL33" i="3"/>
  <c r="AL10" i="3"/>
  <c r="AL74" i="3"/>
  <c r="AL51" i="3"/>
  <c r="AL46" i="3"/>
  <c r="AL79" i="3"/>
  <c r="AL123" i="3"/>
  <c r="AL7" i="3"/>
  <c r="AL104" i="3"/>
  <c r="AL32" i="3"/>
  <c r="AL97" i="3"/>
  <c r="AL120" i="3"/>
  <c r="AL68" i="3"/>
  <c r="AL95" i="3"/>
  <c r="AL115" i="3"/>
  <c r="AL99" i="3"/>
  <c r="AL111" i="3"/>
  <c r="AL94" i="3"/>
  <c r="AL87" i="3"/>
  <c r="AL42" i="3"/>
  <c r="AL36" i="3"/>
  <c r="AL49" i="3"/>
  <c r="AL91" i="3"/>
  <c r="AL14" i="3"/>
  <c r="AL116" i="3"/>
  <c r="AL112" i="3"/>
  <c r="AL83" i="3"/>
  <c r="AL57" i="3"/>
  <c r="AL53" i="3"/>
  <c r="AL100" i="3"/>
  <c r="AL20" i="3"/>
  <c r="AL58" i="3"/>
  <c r="AL60" i="3"/>
  <c r="AL26" i="3"/>
  <c r="AL18" i="3"/>
  <c r="AL38" i="3"/>
  <c r="AL47" i="3"/>
  <c r="AL24" i="3"/>
  <c r="AL108" i="3"/>
  <c r="AL37" i="3"/>
  <c r="AL35" i="3"/>
  <c r="AL2" i="3"/>
  <c r="AL16" i="3"/>
  <c r="AL78" i="3"/>
  <c r="AL122" i="3"/>
  <c r="AL110" i="3"/>
  <c r="AL5" i="3"/>
  <c r="AL27" i="3"/>
  <c r="AL19" i="3"/>
  <c r="AL44" i="3"/>
  <c r="G8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tc={721653A5-EF55-486D-9CD5-43EB1B21E8AA}</author>
  </authors>
  <commentList>
    <comment ref="N3" authorId="0" shapeId="0" xr:uid="{721653A5-EF55-486D-9CD5-43EB1B21E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Screen serd over sent to Crusher run</t>
      </text>
    </comment>
  </commentList>
</comments>
</file>

<file path=xl/sharedStrings.xml><?xml version="1.0" encoding="utf-8"?>
<sst xmlns="http://schemas.openxmlformats.org/spreadsheetml/2006/main" count="1716" uniqueCount="503">
  <si>
    <t>Row Labels</t>
  </si>
  <si>
    <t>Grand Total</t>
  </si>
  <si>
    <t>Plant Efficiency</t>
  </si>
  <si>
    <t>Year</t>
  </si>
  <si>
    <t>Month</t>
  </si>
  <si>
    <t>Screenings</t>
  </si>
  <si>
    <t>Run Time</t>
  </si>
  <si>
    <t>Run Time %</t>
  </si>
  <si>
    <t>3/8"</t>
  </si>
  <si>
    <t>Date</t>
  </si>
  <si>
    <t>Impactor buckets</t>
  </si>
  <si>
    <t>Total tons</t>
  </si>
  <si>
    <t>TPH Fed</t>
  </si>
  <si>
    <t>3/8-5/8</t>
  </si>
  <si>
    <t>57 or 67</t>
  </si>
  <si>
    <t>Both side combined 57or 67</t>
  </si>
  <si>
    <t>Kleemen 57-1</t>
  </si>
  <si>
    <t>Kleemen 57-2</t>
  </si>
  <si>
    <t>Screening</t>
  </si>
  <si>
    <t>Ballast</t>
  </si>
  <si>
    <t xml:space="preserve">Crusher run </t>
  </si>
  <si>
    <t>3" Surge</t>
  </si>
  <si>
    <t>Base</t>
  </si>
  <si>
    <t>Kleemen inpactor</t>
  </si>
  <si>
    <t>1316 HSI</t>
  </si>
  <si>
    <t>Scheduled run time</t>
  </si>
  <si>
    <t>Crusher run / Base</t>
  </si>
  <si>
    <t>3" surge</t>
  </si>
  <si>
    <t>Total Tons produced</t>
  </si>
  <si>
    <t>Total TPH</t>
  </si>
  <si>
    <t>Comments</t>
  </si>
  <si>
    <t>3/8</t>
  </si>
  <si>
    <t>2-7</t>
  </si>
  <si>
    <t>2-4</t>
  </si>
  <si>
    <t>Main breaker triped two times at 470 amps</t>
  </si>
  <si>
    <t>Rinsed the rest of thhe day</t>
  </si>
  <si>
    <t xml:space="preserve">Clean ice off belts </t>
  </si>
  <si>
    <t xml:space="preserve">Main 600 amp breaker tripped </t>
  </si>
  <si>
    <t xml:space="preserve">main breaker tripped 1 304 code </t>
  </si>
  <si>
    <t>Drill bit went through HIS crusher</t>
  </si>
  <si>
    <t>1.7-7</t>
  </si>
  <si>
    <t>pinched lower curtain kleeman 5 304 codes</t>
  </si>
  <si>
    <t>cold waited to start plant  2 - 304 codes</t>
  </si>
  <si>
    <t>1.75-7</t>
  </si>
  <si>
    <t xml:space="preserve"> seal out on prescreener</t>
  </si>
  <si>
    <t>1-7</t>
  </si>
  <si>
    <t>Flip gate on spliter chute  resplice 57 # 2 stacker</t>
  </si>
  <si>
    <t>1.3-3</t>
  </si>
  <si>
    <t>Take up on screen feed 2</t>
  </si>
  <si>
    <t>cold waiting to warm up,</t>
  </si>
  <si>
    <t>1 -304 code</t>
  </si>
  <si>
    <t xml:space="preserve">shut down to stockpile </t>
  </si>
  <si>
    <t>1.8-3</t>
  </si>
  <si>
    <t>2-304 code shut down to stock pile</t>
  </si>
  <si>
    <t>9- 304 codes  Bars may need changed</t>
  </si>
  <si>
    <t>return skirt boads , rubber stuck in splitter box</t>
  </si>
  <si>
    <t>2.25-7</t>
  </si>
  <si>
    <t>1.3=3</t>
  </si>
  <si>
    <t>check splitter chute out</t>
  </si>
  <si>
    <t>finish running material off pad</t>
  </si>
  <si>
    <t>Skirt board crusher run stacker</t>
  </si>
  <si>
    <t xml:space="preserve">304 code </t>
  </si>
  <si>
    <t>Clean spilter chute adjust screen 2 belt feed</t>
  </si>
  <si>
    <t xml:space="preserve">3/8 </t>
  </si>
  <si>
    <t>75 minutes crusher door switch  60 employees safety lunch</t>
  </si>
  <si>
    <t>Calibrate scales check spliter chute 292 code switch to crusher run big rock</t>
  </si>
  <si>
    <t>R breaker got hot</t>
  </si>
  <si>
    <t>1316 crusher went down shows ground fault</t>
  </si>
  <si>
    <t>1316 crusher faulted a ground code lyn boyer checked and cant find it.</t>
  </si>
  <si>
    <t>Screen 2 bogged down shut down to clean up</t>
  </si>
  <si>
    <t>Cleaned up around kleemen patched hole in beam on 13x16 crusher</t>
  </si>
  <si>
    <t>Replace v belts screen 2</t>
  </si>
  <si>
    <t>292 code 5 minutes</t>
  </si>
  <si>
    <t>changed bearing on spliter belt</t>
  </si>
  <si>
    <t>waiting out weather</t>
  </si>
  <si>
    <t>spiltter belt stopped 1 hour</t>
  </si>
  <si>
    <t>Electrican done something to shut plant down</t>
  </si>
  <si>
    <t>Cat worked on 988 loaders AC</t>
  </si>
  <si>
    <t>Repair 57 belt riped in midde</t>
  </si>
  <si>
    <t>Screen stopped, 304 code, rock stuck in shaker.</t>
  </si>
  <si>
    <t>292 code 10 minutes</t>
  </si>
  <si>
    <t>2.225-7</t>
  </si>
  <si>
    <t>2-304 codes 1-0292 code</t>
  </si>
  <si>
    <t>2.25_7</t>
  </si>
  <si>
    <t>1.25-3</t>
  </si>
  <si>
    <t>two 304 codes  4 292 codes</t>
  </si>
  <si>
    <t>14 - 304 codes</t>
  </si>
  <si>
    <t>14 304 codes</t>
  </si>
  <si>
    <t>11 304 cods</t>
  </si>
  <si>
    <t>15 304 codes</t>
  </si>
  <si>
    <t>large rocks</t>
  </si>
  <si>
    <t>2.5-7</t>
  </si>
  <si>
    <t>few 304 big rock</t>
  </si>
  <si>
    <t>lightening 1 hour</t>
  </si>
  <si>
    <t>1-304 code</t>
  </si>
  <si>
    <t>1-304 code   change return roller out on Chip #1</t>
  </si>
  <si>
    <t xml:space="preserve">4-304 codes due to coarse rock </t>
  </si>
  <si>
    <t xml:space="preserve">9-304 codes  Cleaned out settling pond and changed bearing on splitter belt </t>
  </si>
  <si>
    <t>2.75-7</t>
  </si>
  <si>
    <t>4-304codes</t>
  </si>
  <si>
    <t xml:space="preserve">9-304 codes running coarse rock </t>
  </si>
  <si>
    <t>splice crusher run belt</t>
  </si>
  <si>
    <t>one 988 down feedinf at reduced rate till loader is fixed</t>
  </si>
  <si>
    <t>shut down to adjust bars over loading screen  11 304 codes need to change bars</t>
  </si>
  <si>
    <t xml:space="preserve">292 code short Cr belt  changed breaker  </t>
  </si>
  <si>
    <t>1.75-3</t>
  </si>
  <si>
    <t>worked on splitter gates</t>
  </si>
  <si>
    <t>Stacker over bluff tail pulley came apart</t>
  </si>
  <si>
    <t>Stockpiled  V belts come off screen feed #2</t>
  </si>
  <si>
    <t>Kleemen went down  no controle voltage</t>
  </si>
  <si>
    <t>Repair hole in hopper, replace skirt board</t>
  </si>
  <si>
    <t>breaker tripped on splitter feed</t>
  </si>
  <si>
    <t>1.25=3</t>
  </si>
  <si>
    <t>replace skirt rubber on 13x16 discharge.</t>
  </si>
  <si>
    <t xml:space="preserve">Worked on a belt? Breaker tripped shut feed tp splitter down. </t>
  </si>
  <si>
    <t>13x16 feed belt stopped</t>
  </si>
  <si>
    <t>13x16 feed tripped braker shut crusher down to adjust curtains</t>
  </si>
  <si>
    <t>feed to 13x16 tripped out</t>
  </si>
  <si>
    <t>Feed to 13x16 tripped again.</t>
  </si>
  <si>
    <t xml:space="preserve">Fix bottom deck screen, </t>
  </si>
  <si>
    <t>Tripp breaker on kleemen feed belt. 292 code crusher run belt</t>
  </si>
  <si>
    <t>2--7</t>
  </si>
  <si>
    <t>Breaing on splitter feed belt on crusher run hopper</t>
  </si>
  <si>
    <t>cleanup start at 9.45</t>
  </si>
  <si>
    <t>Belting underscreen ripped</t>
  </si>
  <si>
    <t>Kleemen would not start a swith was tripped.</t>
  </si>
  <si>
    <t>38/8</t>
  </si>
  <si>
    <t>rinsed for a while replaced skirt board rubber 13x16 discharge belt</t>
  </si>
  <si>
    <t>1 - 304 code rinsed part of the day</t>
  </si>
  <si>
    <t>superior screen down</t>
  </si>
  <si>
    <t xml:space="preserve">Tag on hopper belt </t>
  </si>
  <si>
    <t>Changed all screen media out on superiors screen</t>
  </si>
  <si>
    <t>1.5-7</t>
  </si>
  <si>
    <t>1-3</t>
  </si>
  <si>
    <t>Fixed skirt board under screnn</t>
  </si>
  <si>
    <t>Kleemen tripperd breaker</t>
  </si>
  <si>
    <t>Cleaned settling pond out</t>
  </si>
  <si>
    <t>Bearin out on 57 Satcker over the bluff and respliced</t>
  </si>
  <si>
    <t>Big rock in crusher</t>
  </si>
  <si>
    <t>1.5/7</t>
  </si>
  <si>
    <t>1  -304 Code and 1 - Crusher door open code                                                                                 54htz</t>
  </si>
  <si>
    <t>1 - Crusher door open code</t>
  </si>
  <si>
    <t xml:space="preserve">Inner drive shaft bearing on screen # one went out </t>
  </si>
  <si>
    <t>292 Code Crusher run belt bogged down</t>
  </si>
  <si>
    <t>304 code Big Rock</t>
  </si>
  <si>
    <t xml:space="preserve">2 304 Codes from big rock and #1 screen drive belts </t>
  </si>
  <si>
    <t>3 292 Codes Belt feeding #1 screen slipped and causing  crusher to bog down</t>
  </si>
  <si>
    <t xml:space="preserve">Crusher motor keep shuttiing down </t>
  </si>
  <si>
    <t>1.75-8</t>
  </si>
  <si>
    <t>1.62-8</t>
  </si>
  <si>
    <t>CR screen seard over causing  57 and chips  to transfer to crusher run.</t>
  </si>
  <si>
    <t>Material was froze but ran good. Water was froze most the day.</t>
  </si>
  <si>
    <t>McCourt here speeding screen up. Generator would not start bac, switched to crusher run.</t>
  </si>
  <si>
    <t>Blinded superior screen over with wet material.</t>
  </si>
  <si>
    <t xml:space="preserve">material wet </t>
  </si>
  <si>
    <t>Finished wet material on ramp.</t>
  </si>
  <si>
    <t>1445 tons of 3" serge</t>
  </si>
  <si>
    <t>1030 tons of 3"</t>
  </si>
  <si>
    <t>Kirby tech ckecking code on engine.</t>
  </si>
  <si>
    <t>25 minutes 304 code trip pre screener</t>
  </si>
  <si>
    <t>304 Codes and splice belt from splitter to screen 2</t>
  </si>
  <si>
    <t>3" 1696, CR 1717, ODOT 1925</t>
  </si>
  <si>
    <t>3" 770 , CR 792 , ODOT 935</t>
  </si>
  <si>
    <t>1.57</t>
  </si>
  <si>
    <t>matrial wet and tacky</t>
  </si>
  <si>
    <t>80 minutes on 304 code trip prescreener</t>
  </si>
  <si>
    <t>19 minutes run at 50.5 hertz</t>
  </si>
  <si>
    <t>2- 304 code 9 minutes  50.12 hertz</t>
  </si>
  <si>
    <t>51 hertz 3-304 codes.</t>
  </si>
  <si>
    <t>50 hertz 3-304 codes</t>
  </si>
  <si>
    <t>2 - 304 codes 10 minutes at 50 Hertz</t>
  </si>
  <si>
    <t>50.6 hertz  18 304 codes for 99 miuntes</t>
  </si>
  <si>
    <t>50.6 Hertz 8 - 304 codes 40 minutes</t>
  </si>
  <si>
    <t>50 hertz 28-304 codes</t>
  </si>
  <si>
    <t xml:space="preserve">11-304 codes 49.5 hertz 46 minutes stock pileing </t>
  </si>
  <si>
    <t>2-304 codes stockpiled 50 minutes</t>
  </si>
  <si>
    <t>3-304 codes 49.6 Hertz 3.25 minutes nstokpileing</t>
  </si>
  <si>
    <t>15- 304 codes for 73 minute stockpile 63 minutes</t>
  </si>
  <si>
    <t>1.75</t>
  </si>
  <si>
    <t>MGL stacker cooling v belt broke 6 304 Codes</t>
  </si>
  <si>
    <t>Guard fell off grizzly, big rock , 3 - 304 codes.</t>
  </si>
  <si>
    <t>8-304 codes screen binded over</t>
  </si>
  <si>
    <t>6-304 codes 59 minutes sttockpileing</t>
  </si>
  <si>
    <t>1.75-6.5</t>
  </si>
  <si>
    <t>3- 304 codes</t>
  </si>
  <si>
    <t xml:space="preserve">5- 304 codes 50 hz </t>
  </si>
  <si>
    <t>41 minutes change screen, 66 minutes stockpile</t>
  </si>
  <si>
    <t>Replaced bearing on return stacker 5.5 hours</t>
  </si>
  <si>
    <t xml:space="preserve">117 minutes in stockpiling material                               </t>
  </si>
  <si>
    <t>Seared superior screen over swithed to Crusher run, stockpile 2.2 hours</t>
  </si>
  <si>
    <t>Big rock in feeder 33 minutes stock pile 140 minutes</t>
  </si>
  <si>
    <t xml:space="preserve"> belt cut samples 8 minutes ran out of shot rock. Blasting today</t>
  </si>
  <si>
    <t>Fired up at 2pm kirby showed to repair guard on pre-screener took 4 hours</t>
  </si>
  <si>
    <t xml:space="preserve"> 292 tripped CR belt  switch fault on kleemen 61 minutes stockpile 76 minutes</t>
  </si>
  <si>
    <t>292 code on prescreener 3 times 14 minutes move over size in product screen came lose. 52 htz</t>
  </si>
  <si>
    <t>Stokpile 107 minutes 2- 292 codes</t>
  </si>
  <si>
    <t>Respliced MDL stacker 4 hours and cleaned up</t>
  </si>
  <si>
    <t>57 scales messed up? 1 - 304 code Change screens on pre-screener 4 hours</t>
  </si>
  <si>
    <t>Cr. Belt on Kleeman stopped dug off 62 minutes Stockpile 40 minutes</t>
  </si>
  <si>
    <t>Stokpiling 62 minutes</t>
  </si>
  <si>
    <t>Scheduled spring replacement on pre- screener adjust underbelt on terex screen 60 minutes     52 htz</t>
  </si>
  <si>
    <t xml:space="preserve">9-292 codes stockpiled </t>
  </si>
  <si>
    <t>First half day materail went to shipping second half had clay in it went back to rinse pile   52 htz 2 292 codes</t>
  </si>
  <si>
    <t>stockpile 45 minutes 4 292 codes</t>
  </si>
  <si>
    <t>Washers tsopped clean out 2 hours stocpile 40minutes 3-292 codes</t>
  </si>
  <si>
    <t>Stockpile 95 minutes 2 - 292 codes</t>
  </si>
  <si>
    <t>Did some maintance and cleaned out under Kleenmen                                                            52htz</t>
  </si>
  <si>
    <t>Change bearing on the head of screenings stacker</t>
  </si>
  <si>
    <t>Superior stacker shut down and bogged scews down</t>
  </si>
  <si>
    <t xml:space="preserve">Stockpile </t>
  </si>
  <si>
    <t>Stockpile</t>
  </si>
  <si>
    <t>shut production down to load train started rinsing.</t>
  </si>
  <si>
    <t>2.5-8</t>
  </si>
  <si>
    <t xml:space="preserve">Started the day rinsing while loading train and then ran plant </t>
  </si>
  <si>
    <t>2.5-9</t>
  </si>
  <si>
    <t xml:space="preserve">Lost drive belts on one of the aggergate washers </t>
  </si>
  <si>
    <t>2.5-10</t>
  </si>
  <si>
    <t>adjustments</t>
  </si>
  <si>
    <t>2.5-11</t>
  </si>
  <si>
    <t xml:space="preserve">big rock in crusher 60 minutes </t>
  </si>
  <si>
    <t>2.5-12</t>
  </si>
  <si>
    <t>2- 304 codes 10 minutes</t>
  </si>
  <si>
    <t>oil tube fell out of pre-screener down all day waiting on kirby</t>
  </si>
  <si>
    <t>big rock 145 minues</t>
  </si>
  <si>
    <t>Stokpile 195 minutes</t>
  </si>
  <si>
    <t>install pre-screener guard 145 minutes</t>
  </si>
  <si>
    <t>282 code under pan feeder shut down and cleaned under Kleemen</t>
  </si>
  <si>
    <t>ran hopper slow kleemen</t>
  </si>
  <si>
    <t>not sure about 57 seems high?</t>
  </si>
  <si>
    <t>Superior screen binded over made CR</t>
  </si>
  <si>
    <t xml:space="preserve">Ran all amterial of ramp, blasting , stockpiled </t>
  </si>
  <si>
    <t>stockpiled first thing 95 minutes</t>
  </si>
  <si>
    <t>Bearing out on screen feed heady pully</t>
  </si>
  <si>
    <t xml:space="preserve">ran kleemen 3 hours them rinsed the rest of day </t>
  </si>
  <si>
    <t>2-304 code, bogged hopper cr side down.</t>
  </si>
  <si>
    <t>9 304 codes 45 Minutes</t>
  </si>
  <si>
    <t>3 - 304</t>
  </si>
  <si>
    <t>3-304 codes 20 minutes</t>
  </si>
  <si>
    <t>4-304 codes 30 minutes</t>
  </si>
  <si>
    <t>5 304 codes</t>
  </si>
  <si>
    <t>9- 304 codes 60 minutes</t>
  </si>
  <si>
    <t>7 304 codes 30 minutes on thightening line on loader</t>
  </si>
  <si>
    <t>Changed out two blow bars 8 hours</t>
  </si>
  <si>
    <t>1 - 304 code big rock</t>
  </si>
  <si>
    <t>25 minutes on under pan feeder relay tripping.</t>
  </si>
  <si>
    <t xml:space="preserve">2= 304 codes </t>
  </si>
  <si>
    <t>1- 304 code Changed oil in screemns trexe NAD SUPERIOR</t>
  </si>
  <si>
    <t>4- 304 codes</t>
  </si>
  <si>
    <t>3?8</t>
  </si>
  <si>
    <t>2=7</t>
  </si>
  <si>
    <t>1 304 code</t>
  </si>
  <si>
    <t>Stockpiling, Rinsed and producd off Kleemen slow feed for washer</t>
  </si>
  <si>
    <t>57 scale reading wrong</t>
  </si>
  <si>
    <t>7 scale reading wrong, 1 - 304 code made crusher run material wet.</t>
  </si>
  <si>
    <t>3- 304 codes loader feeding to fast</t>
  </si>
  <si>
    <t>loading train had to shut down piles full</t>
  </si>
  <si>
    <t>stockpilede</t>
  </si>
  <si>
    <t>Rinsed chips most the morning</t>
  </si>
  <si>
    <t>2-304</t>
  </si>
  <si>
    <t>1-304 code rinsed frist thing, strat plant at 11.30 then stockpiled</t>
  </si>
  <si>
    <t>1-304  2-292 codes CR belt tripped.</t>
  </si>
  <si>
    <t>1- 304 code   rock in tail pully 2 times 20 minutes</t>
  </si>
  <si>
    <t>scheduled resplicce on return stacker  1- 304 code</t>
  </si>
  <si>
    <t>1-988 down feeding with 1 loader worked on screening tail pulley</t>
  </si>
  <si>
    <t>Stockpile 3 - 304 codes 1 loader most the day</t>
  </si>
  <si>
    <t>Firwt part of the day used rinsing they started crushing at 1130</t>
  </si>
  <si>
    <t>2- 304 Codes for big rocks and down 45 minutes for patching a hole in 57 chute          54Htz</t>
  </si>
  <si>
    <t>Started late for stock piling and cleaning under crusher along with 3 304 codes</t>
  </si>
  <si>
    <t xml:space="preserve">Material wet mad Crusher run Kleemen wouldn’t run selector switch flipped </t>
  </si>
  <si>
    <t>Material wet ran Crushger run   2-304 code 1 big rock</t>
  </si>
  <si>
    <t xml:space="preserve">Big Rock 20 mimnutes </t>
  </si>
  <si>
    <t>Produced crusher run till 10am swithed back to 57</t>
  </si>
  <si>
    <t xml:space="preserve"> Fisrt real day running after equipment install </t>
  </si>
  <si>
    <t>Crew 1</t>
  </si>
  <si>
    <t>Crew 2</t>
  </si>
  <si>
    <t>Total Weeks Worked / Year</t>
  </si>
  <si>
    <t>Scheduled Days / Week</t>
  </si>
  <si>
    <t>Scheduled Hours / Day</t>
  </si>
  <si>
    <t>Runtime Hours / Day</t>
  </si>
  <si>
    <t>Scheduled Hours / Week</t>
  </si>
  <si>
    <t>Runtime Hours / Year</t>
  </si>
  <si>
    <t>Runtime Hours / Week</t>
  </si>
  <si>
    <t>Scheduled Hours / Year</t>
  </si>
  <si>
    <t>TPH</t>
  </si>
  <si>
    <t xml:space="preserve">Availability </t>
  </si>
  <si>
    <t>1 1/2" ODOT Base</t>
  </si>
  <si>
    <t>1 1/2" Crusher Run</t>
  </si>
  <si>
    <t>57's</t>
  </si>
  <si>
    <t>67's</t>
  </si>
  <si>
    <t>3/8's</t>
  </si>
  <si>
    <t>5/8's</t>
  </si>
  <si>
    <t>Sand</t>
  </si>
  <si>
    <t>From Secondary</t>
  </si>
  <si>
    <t>Sand Plant</t>
  </si>
  <si>
    <t>2024 Sales</t>
  </si>
  <si>
    <t>2023 Sales</t>
  </si>
  <si>
    <t>2022 Sales</t>
  </si>
  <si>
    <t>Total/Hour</t>
  </si>
  <si>
    <t>Total Hours to make product/Year</t>
  </si>
  <si>
    <t>Total Production / Year</t>
  </si>
  <si>
    <t>Both side combined 57or 67 TPH</t>
  </si>
  <si>
    <t>Average of Both side combined 57or 67 TPH</t>
  </si>
  <si>
    <t>Primary (Current)</t>
  </si>
  <si>
    <t>Total Primary Production</t>
  </si>
  <si>
    <t>Availability</t>
  </si>
  <si>
    <t>Runtime</t>
  </si>
  <si>
    <t>4" Suge Yield</t>
  </si>
  <si>
    <t>4" Surge TPH</t>
  </si>
  <si>
    <t xml:space="preserve">Total Surge Consumed </t>
  </si>
  <si>
    <t>Total Surge Produced</t>
  </si>
  <si>
    <t>Crusher Run Circuit</t>
  </si>
  <si>
    <t>Tertiary Circuit 1</t>
  </si>
  <si>
    <t>Tertiary Circuit 2</t>
  </si>
  <si>
    <t>TPH Produced</t>
  </si>
  <si>
    <t>Total Shot Rock Consumed</t>
  </si>
  <si>
    <t>Secondary</t>
  </si>
  <si>
    <t>Crusher Run 57</t>
  </si>
  <si>
    <t>Crusher Run TPH</t>
  </si>
  <si>
    <t>Crusher Run Yield</t>
  </si>
  <si>
    <t>57-1 TPH</t>
  </si>
  <si>
    <t>57-2 TPH</t>
  </si>
  <si>
    <t>Crusher Run 57 TPH</t>
  </si>
  <si>
    <t>57-1 Yield</t>
  </si>
  <si>
    <t>57-2 Yield</t>
  </si>
  <si>
    <t>Crusher Run 57 Yield</t>
  </si>
  <si>
    <t>D</t>
  </si>
  <si>
    <t>1.5-6</t>
  </si>
  <si>
    <t>Not sure why we didn't run</t>
  </si>
  <si>
    <t>Main breakerr tripped, shut down with no code, and feeder pan shut down</t>
  </si>
  <si>
    <t>Work on spray bars and bit in crusher</t>
  </si>
  <si>
    <t xml:space="preserve">Storm came through, two 276 codes and power shut off to crusher </t>
  </si>
  <si>
    <t>Bearing getting hot on washed #57 tail pulley</t>
  </si>
  <si>
    <t xml:space="preserve">Belt scrapper on crusher run #57 stacker ripped out two flexco's </t>
  </si>
  <si>
    <t>One 304 code</t>
  </si>
  <si>
    <t>Late start freezing, skirt board rubber crusher run #57, 1316 crusher filled up</t>
  </si>
  <si>
    <t>1.3</t>
  </si>
  <si>
    <t>Re-washing</t>
  </si>
  <si>
    <t>Skirt board on flat return belt twice and clean out splitter chute</t>
  </si>
  <si>
    <t xml:space="preserve">Below freezing and a lot of roots in shot rock hauled to bench </t>
  </si>
  <si>
    <t>Work on spray bar, cut tag off and two 304 codes</t>
  </si>
  <si>
    <t>Late start dug out settling pond and shut down early so guys could get ready for storm</t>
  </si>
  <si>
    <t xml:space="preserve">Didn't work cold weather </t>
  </si>
  <si>
    <t xml:space="preserve">Cleared roads and maintenance </t>
  </si>
  <si>
    <t>Haul to paid and maintenance</t>
  </si>
  <si>
    <t>Hauled to paid and maintenance</t>
  </si>
  <si>
    <t>Electricans wiring up new washer and conveyor belt</t>
  </si>
  <si>
    <t xml:space="preserve">Electricans had some of the belts running backwards after do some rewiring </t>
  </si>
  <si>
    <t xml:space="preserve">VFD breaker, one 304 code and bearing on head pulley of screenings stacker </t>
  </si>
  <si>
    <t>To cold to run tell 8:20, Sheeve came off of drive belts on screenings stacker and 1316 crusher shoot over flowing</t>
  </si>
  <si>
    <t>Stockpile clean #57 that night shift did not put in stockpile and Retirement party for Terry Mayo</t>
  </si>
  <si>
    <t xml:space="preserve">1316 feed chute filled up twice and adjust setting on curtains along with change skirt board rubber </t>
  </si>
  <si>
    <t>Clean rock up in front of hopper that was dumped in loader travel area and shut down early to stockpile short handed 54Htz</t>
  </si>
  <si>
    <t>Re-washed</t>
  </si>
  <si>
    <t>Drain line stopped up</t>
  </si>
  <si>
    <t>Change out drain line</t>
  </si>
  <si>
    <t>Adjusted stacker feeding wash plant and run wash plant to make sure everything is in line, add curtain to rock boxes 54Htz</t>
  </si>
  <si>
    <t>Start up and shut down and shut down early for broke blow bar</t>
  </si>
  <si>
    <t>Start up and shut down and clean out cement discharge box and fix skirtboard rubber</t>
  </si>
  <si>
    <t>Start up and shut down, change sreens and move #1 57 stacker up to keep from spilling rock</t>
  </si>
  <si>
    <t>Clean out wash box, move #1 57 stacker forwards and move new wash belt around to make it feed better                    54Htz</t>
  </si>
  <si>
    <t>Re-wash and load train</t>
  </si>
  <si>
    <t>Start up, shut down, rock in crusher run stacker tail pulley, fix water line and four 304 codes</t>
  </si>
  <si>
    <t xml:space="preserve">Startup, shutdown, put oil on and oil in pre screen, 304 code and washed 57 stacker travel electrical </t>
  </si>
  <si>
    <t>Startup, shutdown, crusher run hopper plugged up, 2 304 codes and clean splitter box</t>
  </si>
  <si>
    <t>Doing maintenance</t>
  </si>
  <si>
    <t>Startup, shutdown and big rock in crusher</t>
  </si>
  <si>
    <t>Startup, shutdown , dig out settling pond and 292 breaker</t>
  </si>
  <si>
    <t>Startup, shutdown, two big rock in hopper, Replace V-belts on #2 screen feed and one 304 code</t>
  </si>
  <si>
    <t>Rewashed</t>
  </si>
  <si>
    <t>Startup, shutdown and three 282 codes</t>
  </si>
  <si>
    <t>Startup and shutdown</t>
  </si>
  <si>
    <t xml:space="preserve">Startup, shutdown and working on electrical after thunder storm </t>
  </si>
  <si>
    <t xml:space="preserve">Not enough employees to crush </t>
  </si>
  <si>
    <t>Finish putting liners in Kleeman crusher, crusher door switch broke, fix crusher door swith and shut down</t>
  </si>
  <si>
    <t>Clean up mud in loading are, shutdown, overload on shacker and remove clay from splitter shoot</t>
  </si>
  <si>
    <t>5/8</t>
  </si>
  <si>
    <t xml:space="preserve">Power blinked to crusher, skirt board crusher run hooper and clean out splitter chute twice </t>
  </si>
  <si>
    <t xml:space="preserve">Startup, shutdown and splitter chute stopped up </t>
  </si>
  <si>
    <t>Startup, shutdown, 292 breaker no control voltage and replace E stop button</t>
  </si>
  <si>
    <t>Startup, shutdown, run rock out of old pit, six 292 codes and one 292 code with electrican shutting down to fix</t>
  </si>
  <si>
    <t>Startup, shutdown, put return belt back in place, big rock and change screen on #1 screen</t>
  </si>
  <si>
    <t xml:space="preserve">Startup,shutdown, clean out settling pond, two 304 codes, put oil in pre screen and all hands on safety meeting </t>
  </si>
  <si>
    <t>Startup, shutdown, E-stop, clean splitter chute and water line broke</t>
  </si>
  <si>
    <t>Startup and load train</t>
  </si>
  <si>
    <t xml:space="preserve">Finish changing bearing on washed 57 stacker, big rock in crusher, splitter chute clogged and two 292 codes </t>
  </si>
  <si>
    <t xml:space="preserve">Startup and shutdown early to check oil leak on pre-screen </t>
  </si>
  <si>
    <t>Startup, shutdown and flip splitter chute gates</t>
  </si>
  <si>
    <t>Clean out settling pond and shutdown</t>
  </si>
  <si>
    <t>Load train and shutdown</t>
  </si>
  <si>
    <t xml:space="preserve">Startup, shutdown, change skirt board rubber on return stacker and change screen on #1 shacker </t>
  </si>
  <si>
    <t>Startup and broke blow bar</t>
  </si>
  <si>
    <t>Startup, blowen fuse, and replace bearing on drive shaft of #1 screen</t>
  </si>
  <si>
    <t>2.5-6</t>
  </si>
  <si>
    <t xml:space="preserve">Clean out settling pond, clean out crusher run hopper, blown fuse in main dissconnect for Kleeman and shutdown </t>
  </si>
  <si>
    <t>Startup, change bars because one broke, unplug splitter chute and shutdown</t>
  </si>
  <si>
    <t>2.0-6</t>
  </si>
  <si>
    <t>Startup, unplug splitter chute, three 292 codes and shutdown</t>
  </si>
  <si>
    <t>Startup, flip gates in splitter chute to even out 57 and two 292 codes</t>
  </si>
  <si>
    <t>Stockpile rewashed 57, clean discharge lip on superior screen and shutdown</t>
  </si>
  <si>
    <t>Crusher Run Tons</t>
  </si>
  <si>
    <t>Entry</t>
  </si>
  <si>
    <t>Total 57's Yield</t>
  </si>
  <si>
    <t>Average of TPH Fed</t>
  </si>
  <si>
    <t>January</t>
  </si>
  <si>
    <t>February</t>
  </si>
  <si>
    <t>March</t>
  </si>
  <si>
    <t>April</t>
  </si>
  <si>
    <t>Big Canyon</t>
  </si>
  <si>
    <t>Average of Run Time %</t>
  </si>
  <si>
    <t>Average of 57-2 TPH</t>
  </si>
  <si>
    <t>Average of 57-1 TPH</t>
  </si>
  <si>
    <t>Average of 57-2 Yield</t>
  </si>
  <si>
    <t>Average of 57-1 Yield</t>
  </si>
  <si>
    <t>Average of Total 57's Yield</t>
  </si>
  <si>
    <t>Sum of Both side combined 57or 67</t>
  </si>
  <si>
    <t>Column Labels</t>
  </si>
  <si>
    <t>2026</t>
  </si>
  <si>
    <t>Sum of Kleemen 57-1</t>
  </si>
  <si>
    <t>Sum of Kleemen 57-2</t>
  </si>
  <si>
    <t>Date:</t>
  </si>
  <si>
    <t>Shift</t>
  </si>
  <si>
    <t>Product</t>
  </si>
  <si>
    <t>Sch. Run Time = Shift Time</t>
  </si>
  <si>
    <t>Bucket Capcacity - TN</t>
  </si>
  <si>
    <t># of Buckets</t>
  </si>
  <si>
    <t>Tons Produced</t>
  </si>
  <si>
    <t>TPH Fed Calculated</t>
  </si>
  <si>
    <t>Operator</t>
  </si>
  <si>
    <t>Operator Hours</t>
  </si>
  <si>
    <t>Helper</t>
  </si>
  <si>
    <t>Helper Hours</t>
  </si>
  <si>
    <t>Comments reagrding Down time</t>
  </si>
  <si>
    <t>#57</t>
  </si>
  <si>
    <t>Justin</t>
  </si>
  <si>
    <t xml:space="preserve">Hopper belt frozen, rock froze, and broke v-belts </t>
  </si>
  <si>
    <t xml:space="preserve">Belt feeding coarse washer ripped two flexco's out and had to resplice </t>
  </si>
  <si>
    <t>Matt</t>
  </si>
  <si>
    <t>Feed plant because screenings stacker had a bearing go out</t>
  </si>
  <si>
    <t>Skirt board rubber on stacker and had to put DEF in loader</t>
  </si>
  <si>
    <t xml:space="preserve">Industrial hygiene testing and skirtboard rubber on hopper came out </t>
  </si>
  <si>
    <t xml:space="preserve">Retirement party and Repair flexcos in stacker belt </t>
  </si>
  <si>
    <t>Jonathan</t>
  </si>
  <si>
    <t>Fired up wash plant when secondary went down</t>
  </si>
  <si>
    <t xml:space="preserve">Discharge line stopped up </t>
  </si>
  <si>
    <t xml:space="preserve">Screws wear locked out and adjusting rock feeding in rock box </t>
  </si>
  <si>
    <t xml:space="preserve">Adjusted stacker feeding washer </t>
  </si>
  <si>
    <t>Lunch Break</t>
  </si>
  <si>
    <t>Fired up wash plant when secondary went down for broke blow bar</t>
  </si>
  <si>
    <t>Rear axle over heated three times for 10 minutes</t>
  </si>
  <si>
    <t xml:space="preserve">Change skirt board rubber and re-splice flat #57 conveyor </t>
  </si>
  <si>
    <t xml:space="preserve">1 hr start up and shut down 25 min clean ramp and 20 min restroom and eat </t>
  </si>
  <si>
    <t>Ray</t>
  </si>
  <si>
    <t xml:space="preserve">1 Hr start up and shut down  </t>
  </si>
  <si>
    <t>Tyler</t>
  </si>
  <si>
    <t>Had to dig out settling pond and shut down</t>
  </si>
  <si>
    <t>Start up, shut down and Merit Meeting</t>
  </si>
  <si>
    <t>Startup and shut down</t>
  </si>
  <si>
    <t>Startup, shutdown and drug test</t>
  </si>
  <si>
    <t>Startup,shutdown, put in def</t>
  </si>
  <si>
    <t>Michael</t>
  </si>
  <si>
    <t>Went home early said there was only 2 guys working everyone was sick, or on vacation</t>
  </si>
  <si>
    <t>Startup, shutdown and clean ramp</t>
  </si>
  <si>
    <t>Startup, shutdown, and change paddles on #1 screw</t>
  </si>
  <si>
    <t xml:space="preserve">Startup, shutdown and lighting </t>
  </si>
  <si>
    <t xml:space="preserve">Startup and shutdown </t>
  </si>
  <si>
    <t>Startup, shutdown and safety lunch</t>
  </si>
  <si>
    <t>Rocky</t>
  </si>
  <si>
    <t xml:space="preserve">Startup,shutdown and weather </t>
  </si>
  <si>
    <t>Don't know how long or how much they ran before thunder strom because they didn't turn in any paperwork</t>
  </si>
  <si>
    <t xml:space="preserve">Startup, shutdown,and put DEF in loader </t>
  </si>
  <si>
    <t>Startup, shutdown and repair skirtboard rubber</t>
  </si>
  <si>
    <t>Startup, shutdown and put DEF in loader</t>
  </si>
  <si>
    <t>Just ran for a little bit while we finished changing liners in Kleeman crusher</t>
  </si>
  <si>
    <t>Startup, shutdown and putting DEF in loader</t>
  </si>
  <si>
    <t>Startup, shutdown and production, maintenance meeting</t>
  </si>
  <si>
    <t xml:space="preserve">Startup, shutdown and had to shut plant down and have operator help haul rock from stockpile to load train </t>
  </si>
  <si>
    <t>Calen</t>
  </si>
  <si>
    <t>No paperwork was just told the belt scales said 4200</t>
  </si>
  <si>
    <t xml:space="preserve">Startup,shutdown, lunch and bathroom break </t>
  </si>
  <si>
    <t>JonathaN</t>
  </si>
  <si>
    <t xml:space="preserve">Startup and shutdown Operator   </t>
  </si>
  <si>
    <t>Startup and shutdown     Operator will not wright his bucket count down</t>
  </si>
  <si>
    <t>Startup and shutdown      Still no bucket count wrote down</t>
  </si>
  <si>
    <t xml:space="preserve">Paper work with no bucket count and shutdown time was not correct </t>
  </si>
  <si>
    <t xml:space="preserve">Can't understand paper work. I will get with Leif on this </t>
  </si>
  <si>
    <t>Brian</t>
  </si>
  <si>
    <t>No paperwork I asked him about it and he stated he didn't know he was supposed to do it</t>
  </si>
  <si>
    <t>Stockpile 57 to be rerinsed and bearing out on washed 57 stacker</t>
  </si>
  <si>
    <t xml:space="preserve">Startup, shutdown and Power blinked and had to dig out washer </t>
  </si>
  <si>
    <t>No stop time on paperwork</t>
  </si>
  <si>
    <t>Thunder storm and shutdown</t>
  </si>
  <si>
    <t>Started washing after we cracked a blow bar</t>
  </si>
  <si>
    <t>Started washing after #1 screen went down</t>
  </si>
  <si>
    <t>Change return roller on 57 stacker and storm</t>
  </si>
  <si>
    <t>Startup and ran out of rock to wash</t>
  </si>
  <si>
    <t>Started washing after getting some maintenance done</t>
  </si>
  <si>
    <t xml:space="preserve">No paper work turn in </t>
  </si>
  <si>
    <t>Average of TPH Fed Calculated</t>
  </si>
  <si>
    <t>Primary / Secondary (New)</t>
  </si>
  <si>
    <t>Tertiary (New)</t>
  </si>
  <si>
    <t xml:space="preserve">Product Production </t>
  </si>
  <si>
    <t>57-1</t>
  </si>
  <si>
    <t>57-2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</si>
</sst>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24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1" fontId="0" fillId="4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14" fontId="0" fillId="0" borderId="1" xfId="0" applyNumberFormat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0" fillId="5" borderId="7" xfId="0" applyFill="1" applyBorder="1"/>
    <xf numFmtId="0" fontId="0" fillId="5" borderId="8" xfId="0" applyFill="1" applyBorder="1"/>
    <xf numFmtId="43" fontId="0" fillId="5" borderId="0" xfId="1" applyFont="1" applyFill="1" applyBorder="1"/>
    <xf numFmtId="2" fontId="0" fillId="5" borderId="8" xfId="0" applyNumberFormat="1" applyFill="1" applyBorder="1" applyAlignment="1">
      <alignment horizontal="right"/>
    </xf>
    <xf numFmtId="164" fontId="0" fillId="0" borderId="0" xfId="1" applyNumberFormat="1" applyFont="1" applyBorder="1"/>
    <xf numFmtId="0" fontId="4" fillId="0" borderId="8" xfId="0" applyFont="1" applyBorder="1"/>
    <xf numFmtId="43" fontId="0" fillId="5" borderId="7" xfId="0" applyNumberFormat="1" applyFill="1" applyBorder="1" applyAlignment="1">
      <alignment horizontal="left" vertical="top"/>
    </xf>
    <xf numFmtId="164" fontId="0" fillId="6" borderId="8" xfId="1" applyNumberFormat="1" applyFont="1" applyFill="1" applyBorder="1"/>
    <xf numFmtId="164" fontId="0" fillId="5" borderId="8" xfId="1" applyNumberFormat="1" applyFont="1" applyFill="1" applyBorder="1"/>
    <xf numFmtId="0" fontId="0" fillId="0" borderId="3" xfId="0" applyBorder="1"/>
    <xf numFmtId="164" fontId="0" fillId="0" borderId="9" xfId="0" applyNumberFormat="1" applyBorder="1" applyAlignment="1">
      <alignment vertical="center"/>
    </xf>
    <xf numFmtId="164" fontId="3" fillId="0" borderId="0" xfId="1" applyNumberFormat="1" applyFont="1" applyFill="1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7" borderId="1" xfId="0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164" fontId="0" fillId="7" borderId="1" xfId="1" applyNumberFormat="1" applyFont="1" applyFill="1" applyBorder="1"/>
    <xf numFmtId="164" fontId="0" fillId="8" borderId="1" xfId="1" applyNumberFormat="1" applyFont="1" applyFill="1" applyBorder="1"/>
    <xf numFmtId="164" fontId="0" fillId="9" borderId="1" xfId="1" applyNumberFormat="1" applyFont="1" applyFill="1" applyBorder="1"/>
    <xf numFmtId="164" fontId="0" fillId="10" borderId="1" xfId="1" applyNumberFormat="1" applyFont="1" applyFill="1" applyBorder="1"/>
    <xf numFmtId="164" fontId="0" fillId="7" borderId="12" xfId="1" applyNumberFormat="1" applyFont="1" applyFill="1" applyBorder="1"/>
    <xf numFmtId="164" fontId="0" fillId="8" borderId="12" xfId="1" applyNumberFormat="1" applyFont="1" applyFill="1" applyBorder="1"/>
    <xf numFmtId="164" fontId="0" fillId="9" borderId="12" xfId="1" applyNumberFormat="1" applyFont="1" applyFill="1" applyBorder="1"/>
    <xf numFmtId="164" fontId="0" fillId="10" borderId="12" xfId="1" applyNumberFormat="1" applyFont="1" applyFill="1" applyBorder="1"/>
    <xf numFmtId="164" fontId="2" fillId="8" borderId="13" xfId="1" applyNumberFormat="1" applyFont="1" applyFill="1" applyBorder="1" applyProtection="1"/>
    <xf numFmtId="164" fontId="2" fillId="9" borderId="13" xfId="1" applyNumberFormat="1" applyFont="1" applyFill="1" applyBorder="1" applyProtection="1"/>
    <xf numFmtId="164" fontId="2" fillId="10" borderId="13" xfId="1" applyNumberFormat="1" applyFont="1" applyFill="1" applyBorder="1" applyProtection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43" fontId="2" fillId="8" borderId="1" xfId="0" applyNumberFormat="1" applyFont="1" applyFill="1" applyBorder="1"/>
    <xf numFmtId="43" fontId="2" fillId="9" borderId="1" xfId="0" applyNumberFormat="1" applyFont="1" applyFill="1" applyBorder="1"/>
    <xf numFmtId="164" fontId="2" fillId="8" borderId="1" xfId="1" applyNumberFormat="1" applyFont="1" applyFill="1" applyBorder="1" applyProtection="1"/>
    <xf numFmtId="164" fontId="2" fillId="9" borderId="1" xfId="1" applyNumberFormat="1" applyFont="1" applyFill="1" applyBorder="1" applyProtection="1"/>
    <xf numFmtId="164" fontId="2" fillId="10" borderId="1" xfId="1" applyNumberFormat="1" applyFont="1" applyFill="1" applyBorder="1" applyProtection="1"/>
    <xf numFmtId="43" fontId="2" fillId="10" borderId="1" xfId="1" applyFont="1" applyFill="1" applyBorder="1" applyProtection="1"/>
    <xf numFmtId="0" fontId="2" fillId="0" borderId="0" xfId="0" applyFont="1"/>
    <xf numFmtId="0" fontId="0" fillId="5" borderId="0" xfId="0" applyFill="1"/>
    <xf numFmtId="1" fontId="0" fillId="0" borderId="0" xfId="0" applyNumberFormat="1" applyAlignment="1">
      <alignment horizontal="right"/>
    </xf>
    <xf numFmtId="1" fontId="0" fillId="0" borderId="0" xfId="0" applyNumberFormat="1"/>
    <xf numFmtId="1" fontId="0" fillId="0" borderId="8" xfId="0" applyNumberFormat="1" applyBorder="1" applyAlignment="1">
      <alignment horizontal="right"/>
    </xf>
    <xf numFmtId="0" fontId="3" fillId="5" borderId="8" xfId="0" applyFont="1" applyFill="1" applyBorder="1"/>
    <xf numFmtId="0" fontId="2" fillId="0" borderId="8" xfId="0" applyFont="1" applyBorder="1"/>
    <xf numFmtId="164" fontId="0" fillId="0" borderId="8" xfId="1" applyNumberFormat="1" applyFont="1" applyBorder="1"/>
    <xf numFmtId="2" fontId="0" fillId="0" borderId="0" xfId="0" applyNumberFormat="1" applyAlignment="1">
      <alignment horizontal="right"/>
    </xf>
    <xf numFmtId="0" fontId="4" fillId="0" borderId="0" xfId="0" applyFont="1"/>
    <xf numFmtId="43" fontId="0" fillId="0" borderId="0" xfId="0" applyNumberFormat="1" applyAlignment="1">
      <alignment horizontal="left" vertical="top"/>
    </xf>
    <xf numFmtId="164" fontId="0" fillId="0" borderId="0" xfId="0" applyNumberFormat="1" applyAlignment="1">
      <alignment vertical="center"/>
    </xf>
    <xf numFmtId="164" fontId="0" fillId="13" borderId="10" xfId="1" applyNumberFormat="1" applyFont="1" applyFill="1" applyBorder="1"/>
    <xf numFmtId="164" fontId="0" fillId="6" borderId="9" xfId="1" applyNumberFormat="1" applyFont="1" applyFill="1" applyBorder="1" applyAlignment="1">
      <alignment vertical="center"/>
    </xf>
    <xf numFmtId="164" fontId="0" fillId="0" borderId="9" xfId="1" applyNumberFormat="1" applyFont="1" applyFill="1" applyBorder="1" applyAlignment="1">
      <alignment vertical="center"/>
    </xf>
    <xf numFmtId="164" fontId="0" fillId="0" borderId="10" xfId="1" applyNumberFormat="1" applyFont="1" applyFill="1" applyBorder="1" applyAlignment="1">
      <alignment vertical="center"/>
    </xf>
    <xf numFmtId="0" fontId="0" fillId="0" borderId="1" xfId="0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5" fontId="0" fillId="0" borderId="1" xfId="0" applyNumberFormat="1" applyBorder="1" applyAlignment="1" applyProtection="1">
      <alignment horizontal="center"/>
      <protection locked="0"/>
    </xf>
    <xf numFmtId="49" fontId="0" fillId="3" borderId="1" xfId="0" applyNumberFormat="1" applyFill="1" applyBorder="1" applyAlignment="1" applyProtection="1">
      <alignment horizontal="center"/>
      <protection locked="0"/>
    </xf>
    <xf numFmtId="0" fontId="0" fillId="3" borderId="1" xfId="2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left"/>
      <protection locked="0"/>
    </xf>
    <xf numFmtId="0" fontId="0" fillId="3" borderId="3" xfId="0" applyFill="1" applyBorder="1" applyAlignment="1" applyProtection="1">
      <alignment horizontal="left"/>
      <protection locked="0"/>
    </xf>
    <xf numFmtId="0" fontId="0" fillId="3" borderId="3" xfId="0" applyFill="1" applyBorder="1"/>
    <xf numFmtId="0" fontId="0" fillId="3" borderId="11" xfId="0" applyFill="1" applyBorder="1" applyAlignment="1" applyProtection="1">
      <alignment horizontal="left"/>
      <protection locked="0"/>
    </xf>
    <xf numFmtId="0" fontId="0" fillId="3" borderId="9" xfId="0" applyFill="1" applyBorder="1" applyProtection="1">
      <protection locked="0"/>
    </xf>
    <xf numFmtId="0" fontId="0" fillId="3" borderId="9" xfId="0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2" fontId="0" fillId="0" borderId="0" xfId="0" applyNumberFormat="1"/>
    <xf numFmtId="165" fontId="2" fillId="0" borderId="0" xfId="0" applyNumberFormat="1" applyFont="1" applyAlignment="1" applyProtection="1">
      <alignment horizontal="center" vertical="center" wrapText="1"/>
      <protection locked="0"/>
    </xf>
    <xf numFmtId="166" fontId="2" fillId="6" borderId="0" xfId="0" applyNumberFormat="1" applyFont="1" applyFill="1" applyAlignment="1" applyProtection="1">
      <alignment horizontal="center" vertical="center" wrapText="1"/>
      <protection locked="0"/>
    </xf>
    <xf numFmtId="4" fontId="2" fillId="0" borderId="0" xfId="0" applyNumberFormat="1" applyFont="1" applyAlignment="1" applyProtection="1">
      <alignment vertical="center" wrapText="1"/>
      <protection locked="0"/>
    </xf>
    <xf numFmtId="9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 applyProtection="1">
      <alignment horizontal="center" vertical="center" wrapText="1"/>
      <protection locked="0"/>
    </xf>
    <xf numFmtId="4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Protection="1">
      <protection locked="0"/>
    </xf>
    <xf numFmtId="165" fontId="0" fillId="14" borderId="0" xfId="0" applyNumberFormat="1" applyFill="1" applyAlignment="1" applyProtection="1">
      <alignment horizontal="center" vertical="center" wrapText="1"/>
      <protection locked="0"/>
    </xf>
    <xf numFmtId="166" fontId="0" fillId="14" borderId="0" xfId="0" applyNumberFormat="1" applyFill="1" applyAlignment="1" applyProtection="1">
      <alignment horizontal="center" vertical="center" wrapText="1"/>
      <protection locked="0"/>
    </xf>
    <xf numFmtId="4" fontId="0" fillId="14" borderId="0" xfId="0" applyNumberFormat="1" applyFill="1" applyAlignment="1" applyProtection="1">
      <alignment horizontal="center" vertical="center" wrapText="1"/>
      <protection locked="0"/>
    </xf>
    <xf numFmtId="9" fontId="0" fillId="14" borderId="0" xfId="0" applyNumberFormat="1" applyFill="1" applyAlignment="1">
      <alignment horizontal="center" vertical="center" wrapText="1"/>
    </xf>
    <xf numFmtId="1" fontId="0" fillId="14" borderId="0" xfId="0" applyNumberFormat="1" applyFill="1" applyAlignment="1">
      <alignment horizontal="center" vertical="center" wrapText="1"/>
    </xf>
    <xf numFmtId="15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center" vertical="center" wrapText="1"/>
      <protection locked="0"/>
    </xf>
    <xf numFmtId="4" fontId="0" fillId="0" borderId="0" xfId="0" applyNumberFormat="1" applyAlignment="1" applyProtection="1">
      <alignment horizontal="center" vertical="center" wrapText="1"/>
      <protection locked="0"/>
    </xf>
    <xf numFmtId="9" fontId="0" fillId="15" borderId="0" xfId="0" applyNumberFormat="1" applyFill="1" applyAlignment="1">
      <alignment horizontal="center" vertical="center" wrapText="1"/>
    </xf>
    <xf numFmtId="166" fontId="0" fillId="15" borderId="0" xfId="0" applyNumberFormat="1" applyFill="1" applyAlignment="1" applyProtection="1">
      <alignment horizontal="center" vertical="center" wrapText="1"/>
      <protection locked="0"/>
    </xf>
    <xf numFmtId="1" fontId="0" fillId="15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Alignment="1" applyProtection="1">
      <alignment horizontal="center" vertical="center" wrapText="1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" fontId="0" fillId="0" borderId="0" xfId="0" applyNumberFormat="1" applyFill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43" fontId="0" fillId="0" borderId="0" xfId="1" applyFont="1" applyFill="1" applyBorder="1"/>
    <xf numFmtId="0" fontId="4" fillId="0" borderId="0" xfId="0" applyFont="1" applyFill="1" applyBorder="1"/>
    <xf numFmtId="43" fontId="0" fillId="0" borderId="0" xfId="0" applyNumberFormat="1" applyFill="1" applyBorder="1" applyAlignment="1">
      <alignment horizontal="left" vertical="top"/>
    </xf>
    <xf numFmtId="164" fontId="0" fillId="0" borderId="0" xfId="1" applyNumberFormat="1" applyFont="1" applyFill="1" applyBorder="1" applyAlignment="1">
      <alignment horizontal="left" vertical="center"/>
    </xf>
    <xf numFmtId="43" fontId="0" fillId="0" borderId="0" xfId="0" applyNumberFormat="1" applyFill="1" applyBorder="1"/>
    <xf numFmtId="43" fontId="0" fillId="0" borderId="1" xfId="0" applyNumberFormat="1" applyBorder="1"/>
    <xf numFmtId="0" fontId="0" fillId="0" borderId="1" xfId="0" applyBorder="1" applyAlignment="1">
      <alignment horizontal="center"/>
    </xf>
    <xf numFmtId="4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2" fillId="7" borderId="1" xfId="1" applyNumberFormat="1" applyFont="1" applyFill="1" applyBorder="1" applyAlignment="1" applyProtection="1"/>
    <xf numFmtId="0" fontId="2" fillId="7" borderId="1" xfId="0" applyFont="1" applyFill="1" applyBorder="1"/>
    <xf numFmtId="43" fontId="2" fillId="7" borderId="1" xfId="0" applyNumberFormat="1" applyFont="1" applyFill="1" applyBorder="1"/>
    <xf numFmtId="0" fontId="2" fillId="0" borderId="1" xfId="0" applyFont="1" applyBorder="1"/>
    <xf numFmtId="164" fontId="2" fillId="7" borderId="1" xfId="1" applyNumberFormat="1" applyFont="1" applyFill="1" applyBorder="1" applyProtection="1"/>
    <xf numFmtId="43" fontId="2" fillId="11" borderId="1" xfId="1" applyFont="1" applyFill="1" applyBorder="1" applyProtection="1"/>
    <xf numFmtId="164" fontId="2" fillId="11" borderId="1" xfId="1" applyNumberFormat="1" applyFont="1" applyFill="1" applyBorder="1" applyProtection="1"/>
    <xf numFmtId="164" fontId="2" fillId="12" borderId="1" xfId="1" applyNumberFormat="1" applyFont="1" applyFill="1" applyBorder="1" applyProtection="1"/>
    <xf numFmtId="0" fontId="0" fillId="0" borderId="12" xfId="0" applyBorder="1" applyAlignment="1">
      <alignment horizontal="right"/>
    </xf>
    <xf numFmtId="0" fontId="2" fillId="0" borderId="13" xfId="0" applyFont="1" applyBorder="1" applyAlignment="1">
      <alignment horizontal="right"/>
    </xf>
    <xf numFmtId="164" fontId="2" fillId="7" borderId="13" xfId="1" applyNumberFormat="1" applyFont="1" applyFill="1" applyBorder="1" applyAlignment="1" applyProtection="1">
      <alignment vertical="center"/>
    </xf>
    <xf numFmtId="0" fontId="0" fillId="0" borderId="15" xfId="0" applyBorder="1"/>
    <xf numFmtId="0" fontId="0" fillId="5" borderId="15" xfId="0" applyFill="1" applyBorder="1"/>
    <xf numFmtId="43" fontId="0" fillId="5" borderId="16" xfId="1" applyFont="1" applyFill="1" applyBorder="1"/>
    <xf numFmtId="0" fontId="0" fillId="5" borderId="16" xfId="0" applyFill="1" applyBorder="1"/>
    <xf numFmtId="0" fontId="0" fillId="5" borderId="17" xfId="0" applyFill="1" applyBorder="1"/>
    <xf numFmtId="0" fontId="0" fillId="0" borderId="17" xfId="0" applyBorder="1"/>
    <xf numFmtId="2" fontId="0" fillId="5" borderId="17" xfId="0" applyNumberFormat="1" applyFill="1" applyBorder="1" applyAlignment="1">
      <alignment horizontal="right"/>
    </xf>
    <xf numFmtId="0" fontId="4" fillId="0" borderId="17" xfId="0" applyFont="1" applyBorder="1"/>
    <xf numFmtId="164" fontId="0" fillId="6" borderId="17" xfId="1" applyNumberFormat="1" applyFont="1" applyFill="1" applyBorder="1"/>
    <xf numFmtId="0" fontId="0" fillId="0" borderId="14" xfId="0" applyBorder="1"/>
    <xf numFmtId="0" fontId="0" fillId="0" borderId="9" xfId="0" applyBorder="1"/>
    <xf numFmtId="43" fontId="0" fillId="0" borderId="9" xfId="0" applyNumberFormat="1" applyBorder="1"/>
    <xf numFmtId="2" fontId="0" fillId="0" borderId="9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Canyon Production.xlsx]Primary Piviot!PivotTable1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TPH Fed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Piviot'!$B$5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Piviot'!$A$6:$A$10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Piviot'!$B$6:$B$10</c:f>
              <c:numCache>
                <c:formatCode>0</c:formatCode>
                <c:ptCount val="4"/>
                <c:pt idx="0">
                  <c:v>856.36283609712791</c:v>
                </c:pt>
                <c:pt idx="1">
                  <c:v>982.84942356516365</c:v>
                </c:pt>
                <c:pt idx="2">
                  <c:v>1009.7168969686411</c:v>
                </c:pt>
                <c:pt idx="3">
                  <c:v>982.51301483060843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1-4263-87B0-B3A362E549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0053200"/>
        <c:axId val="1620462208"/>
      </c:barChart>
      <c:catAx>
        <c:axId val="16300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462208"/>
        <c:crosses val="autoZero"/>
        <c:auto val="1"/>
        <c:lblAlgn val="ctr"/>
        <c:lblOffset val="100"/>
        <c:noMultiLvlLbl val="0"/>
      </c:catAx>
      <c:valAx>
        <c:axId val="162046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05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Canyon Production.xlsx]Primary Piviot!PivotTable2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Piviot'!$B$26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Piviot'!$A$27:$A$31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Piviot'!$B$27:$B$31</c:f>
              <c:numCache>
                <c:formatCode>0.00</c:formatCode>
                <c:ptCount val="4"/>
                <c:pt idx="0">
                  <c:v>0.48810663021189338</c:v>
                </c:pt>
                <c:pt idx="1">
                  <c:v>0.46198232323232319</c:v>
                </c:pt>
                <c:pt idx="2">
                  <c:v>0.563425925925926</c:v>
                </c:pt>
                <c:pt idx="3">
                  <c:v>0.62388888888888883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2-4552-A38D-5FEF889AC9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3287632"/>
        <c:axId val="1619387680"/>
      </c:barChart>
      <c:catAx>
        <c:axId val="162328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387680"/>
        <c:crosses val="autoZero"/>
        <c:auto val="1"/>
        <c:lblAlgn val="ctr"/>
        <c:lblOffset val="100"/>
        <c:noMultiLvlLbl val="0"/>
      </c:catAx>
      <c:valAx>
        <c:axId val="161938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8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Canyon Production.xlsx]Primary Piviot!PivotTable3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57's TPH</a:t>
            </a:r>
            <a:r>
              <a:rPr lang="en-US" baseline="0"/>
              <a:t> per Circuit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Piviot'!$B$48</c:f>
              <c:strCache>
                <c:ptCount val="1"/>
                <c:pt idx="0">
                  <c:v>Average of 57-2 TPH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Piviot'!$A$49:$A$53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Piviot'!$B$49:$B$53</c:f>
              <c:numCache>
                <c:formatCode>0</c:formatCode>
                <c:ptCount val="4"/>
                <c:pt idx="0">
                  <c:v>406.07954544687959</c:v>
                </c:pt>
                <c:pt idx="1">
                  <c:v>370.77785627224654</c:v>
                </c:pt>
                <c:pt idx="2">
                  <c:v>407.01898618807405</c:v>
                </c:pt>
                <c:pt idx="3">
                  <c:v>410.78133002345749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C-4FF6-9A68-1ABBFF8E0572}"/>
            </c:ext>
          </c:extLst>
        </c:ser>
        <c:ser>
          <c:idx val="1"/>
          <c:order val="1"/>
          <c:tx>
            <c:strRef>
              <c:f>'Primary Piviot'!$C$48</c:f>
              <c:strCache>
                <c:ptCount val="1"/>
                <c:pt idx="0">
                  <c:v>Average of 57-1 TPH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Piviot'!$A$49:$A$53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Piviot'!$C$49:$C$53</c:f>
              <c:numCache>
                <c:formatCode>0</c:formatCode>
                <c:ptCount val="4"/>
                <c:pt idx="0">
                  <c:v>294.76932612145208</c:v>
                </c:pt>
                <c:pt idx="1">
                  <c:v>265.07491682310422</c:v>
                </c:pt>
                <c:pt idx="2">
                  <c:v>279.56254269163838</c:v>
                </c:pt>
                <c:pt idx="3">
                  <c:v>314.67147751211337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C-4FF6-9A68-1ABBFF8E05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8147568"/>
        <c:axId val="958139888"/>
      </c:barChart>
      <c:catAx>
        <c:axId val="95814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39888"/>
        <c:crosses val="autoZero"/>
        <c:auto val="1"/>
        <c:lblAlgn val="ctr"/>
        <c:lblOffset val="100"/>
        <c:noMultiLvlLbl val="0"/>
      </c:catAx>
      <c:valAx>
        <c:axId val="9581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4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Canyon Production.xlsx]Primary Piviot!PivotTable4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57's 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Piviot'!$B$74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Piviot'!$A$75:$A$79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Piviot'!$B$75:$B$79</c:f>
              <c:numCache>
                <c:formatCode>0</c:formatCode>
                <c:ptCount val="4"/>
                <c:pt idx="0">
                  <c:v>700.8488715683319</c:v>
                </c:pt>
                <c:pt idx="1">
                  <c:v>635.85277309535081</c:v>
                </c:pt>
                <c:pt idx="2">
                  <c:v>686.58152887971232</c:v>
                </c:pt>
                <c:pt idx="3">
                  <c:v>725.45280753557086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8-4184-AC17-48973702C0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1158511"/>
        <c:axId val="1751158031"/>
      </c:barChart>
      <c:catAx>
        <c:axId val="175115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58031"/>
        <c:crosses val="autoZero"/>
        <c:auto val="1"/>
        <c:lblAlgn val="ctr"/>
        <c:lblOffset val="100"/>
        <c:noMultiLvlLbl val="0"/>
      </c:catAx>
      <c:valAx>
        <c:axId val="175115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5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Canyon Production.xlsx]Primary Piviot!PivotTable5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57's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Piviot'!$B$108</c:f>
              <c:strCache>
                <c:ptCount val="1"/>
                <c:pt idx="0">
                  <c:v>Average of 57-1 Yield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Piviot'!$A$109:$A$113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Piviot'!$B$109:$B$113</c:f>
              <c:numCache>
                <c:formatCode>0.00</c:formatCode>
                <c:ptCount val="4"/>
                <c:pt idx="0">
                  <c:v>0.35133913190168187</c:v>
                </c:pt>
                <c:pt idx="1">
                  <c:v>0.27003604308364199</c:v>
                </c:pt>
                <c:pt idx="2">
                  <c:v>0.277176159233535</c:v>
                </c:pt>
                <c:pt idx="3">
                  <c:v>0.32806478237763792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4-42FA-9721-513FF104059C}"/>
            </c:ext>
          </c:extLst>
        </c:ser>
        <c:ser>
          <c:idx val="1"/>
          <c:order val="1"/>
          <c:tx>
            <c:strRef>
              <c:f>'Primary Piviot'!$C$108</c:f>
              <c:strCache>
                <c:ptCount val="1"/>
                <c:pt idx="0">
                  <c:v>Average of 57-2 Yield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Piviot'!$A$109:$A$113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Piviot'!$C$109:$C$113</c:f>
              <c:numCache>
                <c:formatCode>0.00</c:formatCode>
                <c:ptCount val="4"/>
                <c:pt idx="0">
                  <c:v>0.48757245339508265</c:v>
                </c:pt>
                <c:pt idx="1">
                  <c:v>0.38107816232918729</c:v>
                </c:pt>
                <c:pt idx="2">
                  <c:v>0.40337097687680118</c:v>
                </c:pt>
                <c:pt idx="3">
                  <c:v>0.43014371370171628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04-42FA-9721-513FF1040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9035600"/>
        <c:axId val="489034160"/>
      </c:barChart>
      <c:catAx>
        <c:axId val="48903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34160"/>
        <c:crosses val="autoZero"/>
        <c:auto val="1"/>
        <c:lblAlgn val="ctr"/>
        <c:lblOffset val="100"/>
        <c:noMultiLvlLbl val="0"/>
      </c:catAx>
      <c:valAx>
        <c:axId val="4890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3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Canyon Production.xlsx]Primary Piviot!PivotTable6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57's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Piviot'!$B$135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Piviot'!$A$136:$A$140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Piviot'!$B$136:$B$140</c:f>
              <c:numCache>
                <c:formatCode>0.00</c:formatCode>
                <c:ptCount val="4"/>
                <c:pt idx="0">
                  <c:v>0.83891158529676446</c:v>
                </c:pt>
                <c:pt idx="1">
                  <c:v>0.65111420541282938</c:v>
                </c:pt>
                <c:pt idx="2">
                  <c:v>0.68054713611033624</c:v>
                </c:pt>
                <c:pt idx="3">
                  <c:v>0.75820849607935414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8-474E-BFD3-A89FEDC439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1301328"/>
        <c:axId val="1561302288"/>
      </c:barChart>
      <c:catAx>
        <c:axId val="156130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02288"/>
        <c:crosses val="autoZero"/>
        <c:auto val="1"/>
        <c:lblAlgn val="ctr"/>
        <c:lblOffset val="100"/>
        <c:noMultiLvlLbl val="0"/>
      </c:catAx>
      <c:valAx>
        <c:axId val="15613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0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Canyon Production.xlsx]Primary Piviot!PivotTable7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57's Produced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Piviot'!$B$158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Piviot'!$A$159:$A$163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Piviot'!$B$159:$B$163</c:f>
              <c:numCache>
                <c:formatCode>General</c:formatCode>
                <c:ptCount val="4"/>
                <c:pt idx="0">
                  <c:v>64631</c:v>
                </c:pt>
                <c:pt idx="1">
                  <c:v>67111</c:v>
                </c:pt>
                <c:pt idx="2">
                  <c:v>83569</c:v>
                </c:pt>
                <c:pt idx="3">
                  <c:v>82759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5-4B06-AF85-B8D4798F7A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4719152"/>
        <c:axId val="1434717712"/>
      </c:barChart>
      <c:catAx>
        <c:axId val="143471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717712"/>
        <c:crosses val="autoZero"/>
        <c:auto val="1"/>
        <c:lblAlgn val="ctr"/>
        <c:lblOffset val="100"/>
        <c:noMultiLvlLbl val="0"/>
      </c:catAx>
      <c:valAx>
        <c:axId val="143471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71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Canyon Production.xlsx]Primary Piviot!PivotTable9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57's tons produced per</a:t>
            </a:r>
            <a:r>
              <a:rPr lang="en-US" baseline="0"/>
              <a:t> circuit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Piviot'!$B$181</c:f>
              <c:strCache>
                <c:ptCount val="1"/>
                <c:pt idx="0">
                  <c:v>Sum of Kleemen 57-1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'Primary Piviot'!$A$182:$A$186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Piviot'!$B$182:$B$186</c:f>
              <c:numCache>
                <c:formatCode>General</c:formatCode>
                <c:ptCount val="4"/>
                <c:pt idx="0">
                  <c:v>27203</c:v>
                </c:pt>
                <c:pt idx="1">
                  <c:v>27863</c:v>
                </c:pt>
                <c:pt idx="2">
                  <c:v>33950</c:v>
                </c:pt>
                <c:pt idx="3">
                  <c:v>36077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7-48D6-B7C4-E8091531779A}"/>
            </c:ext>
          </c:extLst>
        </c:ser>
        <c:ser>
          <c:idx val="1"/>
          <c:order val="1"/>
          <c:tx>
            <c:strRef>
              <c:f>'Primary Piviot'!$C$181</c:f>
              <c:strCache>
                <c:ptCount val="1"/>
                <c:pt idx="0">
                  <c:v>Sum of Kleemen 57-2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'Primary Piviot'!$A$182:$A$186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'Primary Piviot'!$C$182:$C$186</c:f>
              <c:numCache>
                <c:formatCode>General</c:formatCode>
                <c:ptCount val="4"/>
                <c:pt idx="0">
                  <c:v>37428</c:v>
                </c:pt>
                <c:pt idx="1">
                  <c:v>39248</c:v>
                </c:pt>
                <c:pt idx="2">
                  <c:v>49619</c:v>
                </c:pt>
                <c:pt idx="3">
                  <c:v>46682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7-48D6-B7C4-E8091531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608367"/>
        <c:axId val="1912609327"/>
      </c:barChart>
      <c:catAx>
        <c:axId val="191260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09327"/>
        <c:crosses val="autoZero"/>
        <c:auto val="1"/>
        <c:lblAlgn val="ctr"/>
        <c:lblOffset val="100"/>
        <c:noMultiLvlLbl val="0"/>
      </c:catAx>
      <c:valAx>
        <c:axId val="19126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0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Canyon Production.xlsx]Primary Piviot!PivotTable10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Wash Plant TPH</a:t>
            </a:r>
          </a:p>
        </c:rich>
      </c:tx>
      <c:layout>
        <c:manualLayout>
          <c:xMode val="edge"/>
          <c:yMode val="edge"/>
          <c:x val="0.45137545462630652"/>
          <c:y val="4.7418055672540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395984149575578E-2"/>
          <c:y val="0.14799268172191624"/>
          <c:w val="0.84717678820706577"/>
          <c:h val="0.720920225737041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'Primary Piviot'!$B$213:$B$214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Piviot'!$A$215:$A$218</c:f>
              <c:strCache>
                <c:ptCount val="3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</c:strCache>
            </c:strRef>
          </c:cat>
          <c:val>
            <c:numRef>
              <c:f>'Primary Piviot'!$B$215:$B$218</c:f>
              <c:numCache>
                <c:formatCode>0</c:formatCode>
                <c:ptCount val="3"/>
                <c:pt idx="0">
                  <c:v>439.39320259910727</c:v>
                </c:pt>
                <c:pt idx="1">
                  <c:v>421.46568302912931</c:v>
                </c:pt>
                <c:pt idx="2">
                  <c:v>441.76093536649586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9-42FB-85AF-EF86DBED0B32}"/>
            </c:ext>
          </c:extLst>
        </c:ser>
        <c:ser>
          <c:idx val="1"/>
          <c:order val="1"/>
          <c:tx>
            <c:strRef>
              <c:f>'Primary Piviot'!$C$213:$C$214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Piviot'!$A$215:$A$218</c:f>
              <c:strCache>
                <c:ptCount val="3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</c:strCache>
            </c:strRef>
          </c:cat>
          <c:val>
            <c:numRef>
              <c:f>'Primary Piviot'!$C$215:$C$218</c:f>
              <c:numCache>
                <c:formatCode>0</c:formatCode>
                <c:ptCount val="3"/>
                <c:pt idx="0">
                  <c:v>450.97777777777782</c:v>
                </c:pt>
                <c:pt idx="1">
                  <c:v>478.26344827586206</c:v>
                </c:pt>
                <c:pt idx="2">
                  <c:v>447.3478782356139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9-42FB-85AF-EF86DBED0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8364031"/>
        <c:axId val="1888371231"/>
      </c:barChart>
      <c:catAx>
        <c:axId val="188836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371231"/>
        <c:crosses val="autoZero"/>
        <c:auto val="1"/>
        <c:lblAlgn val="ctr"/>
        <c:lblOffset val="100"/>
        <c:noMultiLvlLbl val="0"/>
      </c:catAx>
      <c:valAx>
        <c:axId val="188837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36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2</xdr:row>
      <xdr:rowOff>42861</xdr:rowOff>
    </xdr:from>
    <xdr:to>
      <xdr:col>12</xdr:col>
      <xdr:colOff>742949</xdr:colOff>
      <xdr:row>21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D96E9-D107-5193-9219-F232508DB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</xdr:colOff>
      <xdr:row>23</xdr:row>
      <xdr:rowOff>33337</xdr:rowOff>
    </xdr:from>
    <xdr:to>
      <xdr:col>12</xdr:col>
      <xdr:colOff>771525</xdr:colOff>
      <xdr:row>44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00CF83-A243-D2DE-6538-1D3C6133E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152400</xdr:colOff>
      <xdr:row>44</xdr:row>
      <xdr:rowOff>157162</xdr:rowOff>
    </xdr:from>
    <xdr:to>
      <xdr:col>14</xdr:col>
      <xdr:colOff>0</xdr:colOff>
      <xdr:row>69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B4529C-A14F-A77C-31C9-A39051AC9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219075</xdr:colOff>
      <xdr:row>70</xdr:row>
      <xdr:rowOff>119061</xdr:rowOff>
    </xdr:from>
    <xdr:to>
      <xdr:col>12</xdr:col>
      <xdr:colOff>295275</xdr:colOff>
      <xdr:row>91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414065-A614-945F-B765-0F0C26356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133349</xdr:colOff>
      <xdr:row>103</xdr:row>
      <xdr:rowOff>119061</xdr:rowOff>
    </xdr:from>
    <xdr:to>
      <xdr:col>13</xdr:col>
      <xdr:colOff>695324</xdr:colOff>
      <xdr:row>127</xdr:row>
      <xdr:rowOff>85724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817D77-01BB-54FF-7C0A-58DF26554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171449</xdr:colOff>
      <xdr:row>129</xdr:row>
      <xdr:rowOff>80962</xdr:rowOff>
    </xdr:from>
    <xdr:to>
      <xdr:col>13</xdr:col>
      <xdr:colOff>695324</xdr:colOff>
      <xdr:row>151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59099F-06DF-0E63-A8A1-8C9F7E696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190499</xdr:colOff>
      <xdr:row>152</xdr:row>
      <xdr:rowOff>90486</xdr:rowOff>
    </xdr:from>
    <xdr:to>
      <xdr:col>13</xdr:col>
      <xdr:colOff>247649</xdr:colOff>
      <xdr:row>175</xdr:row>
      <xdr:rowOff>57149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380E18-CAA8-A86D-16B1-A94A879C4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200024</xdr:colOff>
      <xdr:row>176</xdr:row>
      <xdr:rowOff>4761</xdr:rowOff>
    </xdr:from>
    <xdr:to>
      <xdr:col>14</xdr:col>
      <xdr:colOff>171449</xdr:colOff>
      <xdr:row>198</xdr:row>
      <xdr:rowOff>104774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5AAB56-8610-0D0F-381F-306081A21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257174</xdr:colOff>
      <xdr:row>208</xdr:row>
      <xdr:rowOff>42861</xdr:rowOff>
    </xdr:from>
    <xdr:to>
      <xdr:col>13</xdr:col>
      <xdr:colOff>381000</xdr:colOff>
      <xdr:row>230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EB08D73-CE6E-7592-F1F4-FDF9A2265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ne Allen" id="{C6302EA0-898B-47B7-AABF-382ECD4A3CE9}" userId="S::gallen@dolese.com::79bc70df-459f-4663-b0bf-c739b4172e1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VanHooser" refreshedDate="46139.586390277778" createdVersion="8" refreshedVersion="8" minRefreshableVersion="3" recordCount="69" xr:uid="{AEB93C9C-4284-4A4D-8D59-1BD00AA27812}">
  <cacheSource type="worksheet">
    <worksheetSource ref="A1:Q70" sheet="Washplant Raw Data"/>
  </cacheSource>
  <cacheFields count="17">
    <cacheField name="Date:" numFmtId="0">
      <sharedItems containsNonDate="0" containsDate="1" containsString="0" containsBlank="1" minDate="2026-02-02T00:00:00" maxDate="2026-04-26T00:00:00"/>
    </cacheField>
    <cacheField name="Year" numFmtId="0">
      <sharedItems containsBlank="1" count="2">
        <m/>
        <s v="2026"/>
      </sharedItems>
    </cacheField>
    <cacheField name="Month" numFmtId="0">
      <sharedItems containsBlank="1" count="4">
        <m/>
        <s v="February"/>
        <s v="March"/>
        <s v="April"/>
      </sharedItems>
    </cacheField>
    <cacheField name="Shift" numFmtId="0">
      <sharedItems containsBlank="1" containsMixedTypes="1" containsNumber="1" containsInteger="1" minValue="1" maxValue="2" count="7">
        <m/>
        <n v="2"/>
        <n v="1"/>
        <s v="2nd" u="1"/>
        <s v="1st" u="1"/>
        <s v="1st " u="1"/>
        <s v="2nd " u="1"/>
      </sharedItems>
    </cacheField>
    <cacheField name="Product" numFmtId="0">
      <sharedItems containsBlank="1"/>
    </cacheField>
    <cacheField name="Sch. Run Time = Shift Time" numFmtId="0">
      <sharedItems containsString="0" containsBlank="1" containsNumber="1" minValue="1.8" maxValue="12"/>
    </cacheField>
    <cacheField name="Run Time" numFmtId="0">
      <sharedItems containsString="0" containsBlank="1" containsNumber="1" minValue="1.5" maxValue="11"/>
    </cacheField>
    <cacheField name="Run Time %" numFmtId="9">
      <sharedItems containsBlank="1" containsMixedTypes="1" containsNumber="1" minValue="0" maxValue="1"/>
    </cacheField>
    <cacheField name="Bucket Capcacity - TN" numFmtId="166">
      <sharedItems containsString="0" containsBlank="1" containsNumber="1" minValue="11" maxValue="13.5"/>
    </cacheField>
    <cacheField name="# of Buckets" numFmtId="4">
      <sharedItems containsString="0" containsBlank="1" containsNumber="1" containsInteger="1" minValue="77" maxValue="463"/>
    </cacheField>
    <cacheField name="Tons Produced" numFmtId="0">
      <sharedItems containsBlank="1" containsMixedTypes="1" containsNumber="1" minValue="847" maxValue="5113"/>
    </cacheField>
    <cacheField name="TPH Fed Calculated" numFmtId="1">
      <sharedItems containsBlank="1" containsMixedTypes="1" containsNumber="1" minValue="193.04761904761904" maxValue="594"/>
    </cacheField>
    <cacheField name="Operator" numFmtId="1">
      <sharedItems containsBlank="1"/>
    </cacheField>
    <cacheField name="Operator Hours" numFmtId="1">
      <sharedItems containsString="0" containsBlank="1" containsNumber="1" minValue="7.5" maxValue="12"/>
    </cacheField>
    <cacheField name="Helper" numFmtId="1">
      <sharedItems containsNonDate="0" containsString="0" containsBlank="1"/>
    </cacheField>
    <cacheField name="Helper Hours" numFmtId="1">
      <sharedItems containsNonDate="0" containsString="0" containsBlank="1"/>
    </cacheField>
    <cacheField name="Comments reagrding Down 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VanHooser" refreshedDate="46139.591250810183" createdVersion="8" refreshedVersion="8" minRefreshableVersion="3" recordCount="418" xr:uid="{BFA39404-786F-4BE2-AC1C-C6FD5C3F2E6E}">
  <cacheSource type="worksheet">
    <worksheetSource ref="A1:AS419" sheet="Plant Raw Data"/>
  </cacheSource>
  <cacheFields count="45">
    <cacheField name="Date" numFmtId="0">
      <sharedItems containsSemiMixedTypes="0" containsNonDate="0" containsDate="1" containsString="0" minDate="2024-01-03T00:00:00" maxDate="2026-04-25T00:00:00"/>
    </cacheField>
    <cacheField name="Year" numFmtId="15">
      <sharedItems count="3">
        <s v="2024"/>
        <s v="2025"/>
        <s v="2026"/>
      </sharedItems>
    </cacheField>
    <cacheField name="Month" numFmtId="15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Entry" numFmtId="0">
      <sharedItems containsBlank="1"/>
    </cacheField>
    <cacheField name="Impactor buckets" numFmtId="0">
      <sharedItems containsString="0" containsBlank="1" containsNumber="1" containsInteger="1" minValue="0" maxValue="870"/>
    </cacheField>
    <cacheField name="Total tons" numFmtId="0">
      <sharedItems containsString="0" containsBlank="1" containsNumber="1" minValue="0" maxValue="11745"/>
    </cacheField>
    <cacheField name="TPH Fed" numFmtId="0">
      <sharedItems containsBlank="1" containsMixedTypes="1" containsNumber="1" minValue="232.875" maxValue="1435.6097560975611"/>
    </cacheField>
    <cacheField name="3/8-5/8" numFmtId="0">
      <sharedItems containsBlank="1" containsMixedTypes="1" containsNumber="1" containsInteger="1" minValue="0" maxValue="844"/>
    </cacheField>
    <cacheField name="3/8-5/82" numFmtId="0">
      <sharedItems containsString="0" containsBlank="1" containsNumber="1" containsInteger="1" minValue="0" maxValue="57"/>
    </cacheField>
    <cacheField name="57 or 67" numFmtId="0">
      <sharedItems containsString="0" containsBlank="1" containsNumber="1" containsInteger="1" minValue="0" maxValue="6200"/>
    </cacheField>
    <cacheField name="Crusher Run Tons" numFmtId="0">
      <sharedItems containsNonDate="0" containsString="0" containsBlank="1"/>
    </cacheField>
    <cacheField name="Both side combined 57or 67" numFmtId="0">
      <sharedItems containsString="0" containsBlank="1" containsNumber="1" containsInteger="1" minValue="0" maxValue="8080"/>
    </cacheField>
    <cacheField name="Kleemen 57-1" numFmtId="0">
      <sharedItems containsString="0" containsBlank="1" containsNumber="1" containsInteger="1" minValue="0" maxValue="4222"/>
    </cacheField>
    <cacheField name="Kleemen 57-2" numFmtId="0">
      <sharedItems containsString="0" containsBlank="1" containsNumber="1" containsInteger="1" minValue="0" maxValue="4672"/>
    </cacheField>
    <cacheField name="Crusher Run 57" numFmtId="0">
      <sharedItems containsNonDate="0" containsString="0" containsBlank="1"/>
    </cacheField>
    <cacheField name="Screening" numFmtId="0">
      <sharedItems containsString="0" containsBlank="1" containsNumber="1" containsInteger="1" minValue="0" maxValue="4674"/>
    </cacheField>
    <cacheField name="Ballast" numFmtId="0">
      <sharedItems containsString="0" containsBlank="1" containsNumber="1" containsInteger="1" minValue="0" maxValue="442"/>
    </cacheField>
    <cacheField name="Crusher run " numFmtId="0">
      <sharedItems containsString="0" containsBlank="1" containsNumber="1" containsInteger="1" minValue="0" maxValue="3642"/>
    </cacheField>
    <cacheField name="3&quot; Surge" numFmtId="0">
      <sharedItems containsString="0" containsBlank="1" containsNumber="1" containsInteger="1" minValue="0" maxValue="1676"/>
    </cacheField>
    <cacheField name="Base" numFmtId="0">
      <sharedItems containsString="0" containsBlank="1" containsNumber="1" containsInteger="1" minValue="0" maxValue="2090"/>
    </cacheField>
    <cacheField name="Kleemen inpactor" numFmtId="0">
      <sharedItems containsBlank="1"/>
    </cacheField>
    <cacheField name="1316 HSI" numFmtId="49">
      <sharedItems containsBlank="1"/>
    </cacheField>
    <cacheField name="Scheduled run time" numFmtId="0">
      <sharedItems containsString="0" containsBlank="1" containsNumber="1" minValue="0" maxValue="13"/>
    </cacheField>
    <cacheField name="Run Time" numFmtId="0">
      <sharedItems containsString="0" containsBlank="1" containsNumber="1" minValue="0" maxValue="10.8"/>
    </cacheField>
    <cacheField name="Plant Efficiency" numFmtId="9">
      <sharedItems containsBlank="1" containsMixedTypes="1" containsNumber="1" minValue="0" maxValue="6.8090909090909086"/>
    </cacheField>
    <cacheField name="Run Time %" numFmtId="10">
      <sharedItems containsSemiMixedTypes="0" containsString="0" containsNumber="1" minValue="0" maxValue="1.06"/>
    </cacheField>
    <cacheField name="Crusher Run TPH" numFmtId="0">
      <sharedItems containsBlank="1" containsMixedTypes="1" containsNumber="1" containsInteger="1" minValue="0" maxValue="0"/>
    </cacheField>
    <cacheField name="Crusher Run Yield" numFmtId="0">
      <sharedItems containsBlank="1" containsMixedTypes="1" containsNumber="1" containsInteger="1" minValue="0" maxValue="0"/>
    </cacheField>
    <cacheField name="Ballast2" numFmtId="1">
      <sharedItems containsBlank="1" containsMixedTypes="1" containsNumber="1" minValue="0" maxValue="65"/>
    </cacheField>
    <cacheField name="3/8&quot;" numFmtId="1">
      <sharedItems containsBlank="1" containsMixedTypes="1" containsNumber="1" minValue="0" maxValue="114.05405405405405"/>
    </cacheField>
    <cacheField name="Both side combined 57or 67 TPH" numFmtId="1">
      <sharedItems containsString="0" containsBlank="1" containsNumber="1" minValue="0" maxValue="927.80487804878055"/>
    </cacheField>
    <cacheField name="57-1 TPH" numFmtId="0">
      <sharedItems containsBlank="1" containsMixedTypes="1" containsNumber="1" minValue="148.92156862745099" maxValue="492.64705882352945"/>
    </cacheField>
    <cacheField name="57-2 TPH" numFmtId="0">
      <sharedItems containsBlank="1" containsMixedTypes="1" containsNumber="1" minValue="6.9512195121951228" maxValue="531.21951219512198"/>
    </cacheField>
    <cacheField name="Crusher Run 57 TPH" numFmtId="0">
      <sharedItems containsBlank="1" containsMixedTypes="1" containsNumber="1" containsInteger="1" minValue="0" maxValue="0"/>
    </cacheField>
    <cacheField name="57-1 Yield" numFmtId="0">
      <sharedItems containsBlank="1" containsMixedTypes="1" containsNumber="1" minValue="0" maxValue="0.63669449796617428"/>
    </cacheField>
    <cacheField name="57-2 Yield" numFmtId="0">
      <sharedItems containsBlank="1" containsMixedTypes="1" containsNumber="1" minValue="0" maxValue="1.0509930220075148"/>
    </cacheField>
    <cacheField name="Crusher Run 57 Yield" numFmtId="0">
      <sharedItems containsBlank="1" containsMixedTypes="1" containsNumber="1" containsInteger="1" minValue="0" maxValue="0"/>
    </cacheField>
    <cacheField name="Total 57's Yield" numFmtId="0">
      <sharedItems containsString="0" containsBlank="1" containsNumber="1" minValue="0" maxValue="1.3438395415472779"/>
    </cacheField>
    <cacheField name="Crusher run / Base" numFmtId="1">
      <sharedItems containsBlank="1" containsMixedTypes="1" containsNumber="1" minValue="0" maxValue="520.28571428571433"/>
    </cacheField>
    <cacheField name="Screenings" numFmtId="1">
      <sharedItems containsBlank="1" containsMixedTypes="1" containsNumber="1" minValue="0" maxValue="922.17391304347836"/>
    </cacheField>
    <cacheField name="3&quot; surge2" numFmtId="1">
      <sharedItems containsBlank="1" containsMixedTypes="1" containsNumber="1" minValue="0" maxValue="236.05633802816902"/>
    </cacheField>
    <cacheField name="Base2" numFmtId="1">
      <sharedItems containsBlank="1" containsMixedTypes="1" containsNumber="1" minValue="0" maxValue="275"/>
    </cacheField>
    <cacheField name="Total Tons produced" numFmtId="0">
      <sharedItems containsString="0" containsBlank="1" containsNumber="1" containsInteger="1" minValue="0" maxValue="12021"/>
    </cacheField>
    <cacheField name="Total TPH" numFmtId="1">
      <sharedItems containsBlank="1" containsMixedTypes="1" containsNumber="1" minValue="286.969696969697" maxValue="1601.7391304347827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m/>
    <x v="0"/>
    <x v="0"/>
    <x v="0"/>
    <m/>
    <m/>
    <m/>
    <m/>
    <m/>
    <m/>
    <m/>
    <m/>
    <m/>
    <m/>
    <m/>
    <m/>
    <m/>
  </r>
  <r>
    <d v="2026-02-02T00:00:00"/>
    <x v="1"/>
    <x v="1"/>
    <x v="1"/>
    <s v="#57"/>
    <n v="12"/>
    <n v="7.4"/>
    <n v="0.62"/>
    <n v="11"/>
    <n v="335"/>
    <n v="3685"/>
    <n v="498"/>
    <s v="Justin"/>
    <n v="12"/>
    <m/>
    <m/>
    <s v="Hopper belt frozen, rock froze, and broke v-belts "/>
  </r>
  <r>
    <d v="2026-02-03T00:00:00"/>
    <x v="1"/>
    <x v="1"/>
    <x v="1"/>
    <s v="#57"/>
    <n v="12"/>
    <n v="1.5"/>
    <n v="0.13"/>
    <n v="11"/>
    <n v="81"/>
    <n v="891"/>
    <n v="594"/>
    <s v="Justin"/>
    <n v="12"/>
    <m/>
    <m/>
    <s v="Belt feeding coarse washer ripped two flexco's out and had to resplice "/>
  </r>
  <r>
    <d v="2026-02-04T00:00:00"/>
    <x v="1"/>
    <x v="1"/>
    <x v="2"/>
    <s v="#57"/>
    <n v="4"/>
    <n v="4"/>
    <n v="1"/>
    <n v="11"/>
    <n v="200"/>
    <n v="2200"/>
    <n v="550"/>
    <s v="Matt"/>
    <n v="12"/>
    <m/>
    <m/>
    <s v="Feed plant because screenings stacker had a bearing go out"/>
  </r>
  <r>
    <d v="2026-02-04T00:00:00"/>
    <x v="1"/>
    <x v="1"/>
    <x v="1"/>
    <s v="#57"/>
    <n v="12"/>
    <n v="11"/>
    <n v="0.92"/>
    <n v="11"/>
    <n v="414"/>
    <n v="4554"/>
    <n v="414"/>
    <s v="Justin"/>
    <n v="12"/>
    <m/>
    <m/>
    <s v="Skirt board rubber on stacker and had to put DEF in loader"/>
  </r>
  <r>
    <d v="2026-02-05T00:00:00"/>
    <x v="1"/>
    <x v="1"/>
    <x v="1"/>
    <s v="#57"/>
    <n v="12"/>
    <n v="4"/>
    <n v="0.33"/>
    <n v="11"/>
    <n v="142"/>
    <n v="1562"/>
    <n v="391"/>
    <s v="Justin"/>
    <n v="12"/>
    <m/>
    <m/>
    <s v="Industrial hygiene testing and skirtboard rubber on hopper came out "/>
  </r>
  <r>
    <d v="2026-02-06T00:00:00"/>
    <x v="1"/>
    <x v="1"/>
    <x v="1"/>
    <s v="#57"/>
    <n v="12"/>
    <n v="8.5"/>
    <n v="0.71"/>
    <n v="11"/>
    <n v="277"/>
    <n v="3047"/>
    <n v="358"/>
    <s v="Justin"/>
    <n v="12"/>
    <m/>
    <m/>
    <s v="Retirement party and Repair flexcos in stacker belt "/>
  </r>
  <r>
    <d v="2026-02-02T00:00:00"/>
    <x v="1"/>
    <x v="1"/>
    <x v="2"/>
    <s v="#57"/>
    <n v="7"/>
    <n v="7"/>
    <n v="1"/>
    <n v="11"/>
    <n v="295"/>
    <n v="3245"/>
    <n v="464"/>
    <s v="Jonathan"/>
    <n v="12"/>
    <m/>
    <m/>
    <s v="Fired up wash plant when secondary went down"/>
  </r>
  <r>
    <d v="2026-02-02T00:00:00"/>
    <x v="1"/>
    <x v="1"/>
    <x v="1"/>
    <s v="#57"/>
    <n v="12"/>
    <n v="6.5"/>
    <n v="0.54"/>
    <n v="11"/>
    <n v="187"/>
    <n v="2057"/>
    <n v="316"/>
    <s v="Justin"/>
    <n v="12"/>
    <m/>
    <m/>
    <s v="Discharge line stopped up "/>
  </r>
  <r>
    <d v="2026-02-13T00:00:00"/>
    <x v="1"/>
    <x v="1"/>
    <x v="1"/>
    <s v="#57"/>
    <n v="12"/>
    <n v="5.8"/>
    <n v="0.48"/>
    <n v="11"/>
    <n v="221"/>
    <n v="2431"/>
    <n v="419"/>
    <s v="Justin"/>
    <n v="12"/>
    <m/>
    <m/>
    <s v="Screws wear locked out and adjusting rock feeding in rock box "/>
  </r>
  <r>
    <d v="2026-02-16T00:00:00"/>
    <x v="1"/>
    <x v="1"/>
    <x v="2"/>
    <s v="#57"/>
    <n v="2.5"/>
    <n v="2.2999999999999998"/>
    <n v="0.92"/>
    <n v="11"/>
    <n v="86"/>
    <n v="946"/>
    <n v="411"/>
    <s v="Jonathan"/>
    <n v="12"/>
    <m/>
    <m/>
    <s v="Adjusted stacker feeding washer "/>
  </r>
  <r>
    <d v="2026-02-16T00:00:00"/>
    <x v="1"/>
    <x v="1"/>
    <x v="1"/>
    <s v="#57"/>
    <n v="12"/>
    <n v="10.6"/>
    <n v="0.88"/>
    <n v="11"/>
    <n v="375"/>
    <n v="4125"/>
    <n v="389"/>
    <s v="Justin"/>
    <n v="12"/>
    <m/>
    <m/>
    <s v="Lunch Break"/>
  </r>
  <r>
    <d v="2026-02-17T00:00:00"/>
    <x v="1"/>
    <x v="1"/>
    <x v="2"/>
    <s v="#57"/>
    <n v="1.8"/>
    <n v="1.8"/>
    <n v="1"/>
    <n v="11"/>
    <n v="77"/>
    <n v="847"/>
    <n v="470.55555555555554"/>
    <s v="Jonathan"/>
    <n v="12"/>
    <m/>
    <m/>
    <s v="Fired up wash plant when secondary went down for broke blow bar"/>
  </r>
  <r>
    <d v="2026-02-17T00:00:00"/>
    <x v="1"/>
    <x v="1"/>
    <x v="1"/>
    <s v="#57"/>
    <n v="12"/>
    <n v="10.5"/>
    <n v="0.875"/>
    <n v="11"/>
    <n v="413"/>
    <n v="4543"/>
    <n v="432.66666666666669"/>
    <s v="Justin"/>
    <n v="12"/>
    <m/>
    <m/>
    <s v="Rear axle over heated three times for 10 minutes"/>
  </r>
  <r>
    <d v="2026-02-18T00:00:00"/>
    <x v="1"/>
    <x v="1"/>
    <x v="1"/>
    <s v="#57"/>
    <n v="12"/>
    <n v="4.5"/>
    <n v="0.375"/>
    <n v="11"/>
    <n v="183"/>
    <n v="2013"/>
    <n v="447.33333333333331"/>
    <s v="Justin"/>
    <n v="12"/>
    <m/>
    <m/>
    <s v="Change skirt board rubber and re-splice flat #57 conveyor "/>
  </r>
  <r>
    <d v="2026-02-19T00:00:00"/>
    <x v="1"/>
    <x v="1"/>
    <x v="1"/>
    <s v="#57"/>
    <n v="12"/>
    <n v="10.199999999999999"/>
    <n v="0.85"/>
    <n v="11"/>
    <n v="396"/>
    <n v="4356"/>
    <n v="427.05882352941177"/>
    <s v="Justin"/>
    <n v="12"/>
    <m/>
    <m/>
    <s v="1 hr start up and shut down 25 min clean ramp and 20 min restroom and eat "/>
  </r>
  <r>
    <d v="2026-02-20T00:00:00"/>
    <x v="1"/>
    <x v="1"/>
    <x v="1"/>
    <s v="#57"/>
    <n v="12"/>
    <n v="11"/>
    <n v="0.91666666666666663"/>
    <n v="11"/>
    <m/>
    <n v="5113"/>
    <n v="464.81818181818181"/>
    <s v="Ray"/>
    <n v="12"/>
    <m/>
    <m/>
    <s v="1 Hr start up and shut down  "/>
  </r>
  <r>
    <d v="2026-02-23T00:00:00"/>
    <x v="1"/>
    <x v="1"/>
    <x v="2"/>
    <s v="#57"/>
    <n v="8"/>
    <n v="7.5"/>
    <n v="0.9375"/>
    <n v="11"/>
    <n v="245"/>
    <n v="2695"/>
    <n v="359.33333333333331"/>
    <s v="Tyler"/>
    <n v="12"/>
    <m/>
    <m/>
    <s v="Had to dig out settling pond and shut down"/>
  </r>
  <r>
    <d v="2026-02-23T00:00:00"/>
    <x v="1"/>
    <x v="1"/>
    <x v="1"/>
    <s v="#57"/>
    <n v="12"/>
    <n v="10.6"/>
    <n v="0.8833333333333333"/>
    <n v="12"/>
    <n v="412"/>
    <n v="4944"/>
    <n v="466.41509433962267"/>
    <s v="Justin"/>
    <n v="12"/>
    <m/>
    <m/>
    <s v="Start up, shut down and Merit Meeting"/>
  </r>
  <r>
    <d v="2026-02-24T00:00:00"/>
    <x v="1"/>
    <x v="1"/>
    <x v="1"/>
    <s v="#57"/>
    <n v="12"/>
    <n v="11"/>
    <n v="0.91666666666666663"/>
    <n v="12"/>
    <n v="409"/>
    <n v="4908"/>
    <n v="446.18181818181819"/>
    <s v="Justin"/>
    <n v="12"/>
    <m/>
    <m/>
    <s v="Startup and shut down"/>
  </r>
  <r>
    <d v="2026-02-25T00:00:00"/>
    <x v="1"/>
    <x v="1"/>
    <x v="1"/>
    <s v="#57"/>
    <n v="12"/>
    <n v="9.5"/>
    <n v="0.79166666666666663"/>
    <n v="12"/>
    <m/>
    <n v="4087"/>
    <n v="430.21052631578948"/>
    <s v="Ray"/>
    <n v="12"/>
    <m/>
    <m/>
    <s v="Startup, shutdown and drug test"/>
  </r>
  <r>
    <d v="2026-02-26T00:00:00"/>
    <x v="1"/>
    <x v="1"/>
    <x v="1"/>
    <s v="#57"/>
    <n v="12"/>
    <n v="10.7"/>
    <n v="0.89166666666666661"/>
    <n v="12"/>
    <m/>
    <n v="4280"/>
    <n v="400"/>
    <s v="Ray"/>
    <n v="12"/>
    <m/>
    <m/>
    <s v="Startup,shutdown, put in def"/>
  </r>
  <r>
    <d v="2026-02-27T00:00:00"/>
    <x v="1"/>
    <x v="1"/>
    <x v="1"/>
    <s v="#57"/>
    <n v="12"/>
    <n v="2"/>
    <n v="0.16666666666666666"/>
    <n v="12"/>
    <n v="96"/>
    <n v="1152"/>
    <n v="576"/>
    <s v="Michael"/>
    <n v="7.5"/>
    <m/>
    <m/>
    <s v="Went home early said there was only 2 guys working everyone was sick, or on vacation"/>
  </r>
  <r>
    <d v="2026-03-02T00:00:00"/>
    <x v="1"/>
    <x v="2"/>
    <x v="1"/>
    <s v="#57"/>
    <n v="12"/>
    <n v="10"/>
    <n v="0.83333333333333337"/>
    <n v="12"/>
    <n v="386"/>
    <n v="4632"/>
    <n v="463.2"/>
    <s v="Justin"/>
    <n v="12"/>
    <m/>
    <m/>
    <s v="Startup, shutdown and clean ramp"/>
  </r>
  <r>
    <d v="2026-03-03T00:00:00"/>
    <x v="1"/>
    <x v="2"/>
    <x v="1"/>
    <s v="#57"/>
    <n v="12"/>
    <n v="5.5"/>
    <n v="0.45833333333333331"/>
    <n v="12"/>
    <n v="265"/>
    <n v="3180"/>
    <n v="578.18181818181813"/>
    <s v="Michael"/>
    <n v="12"/>
    <m/>
    <m/>
    <s v="Startup, shutdown, and change paddles on #1 screw"/>
  </r>
  <r>
    <d v="2026-03-04T00:00:00"/>
    <x v="1"/>
    <x v="2"/>
    <x v="1"/>
    <s v="#57"/>
    <n v="12"/>
    <n v="9"/>
    <n v="0.75"/>
    <n v="12"/>
    <n v="391"/>
    <n v="4692"/>
    <n v="521.33333333333337"/>
    <s v="Justin"/>
    <n v="12"/>
    <m/>
    <m/>
    <s v="Startup, shutdown and lighting "/>
  </r>
  <r>
    <d v="2026-03-05T00:00:00"/>
    <x v="1"/>
    <x v="2"/>
    <x v="1"/>
    <s v="#57"/>
    <n v="12"/>
    <n v="10.8"/>
    <n v="0.9"/>
    <n v="12"/>
    <n v="463"/>
    <n v="4915"/>
    <n v="455.09259259259255"/>
    <s v="Michael"/>
    <n v="12"/>
    <m/>
    <m/>
    <s v="Startup and shutdown "/>
  </r>
  <r>
    <d v="2026-03-06T00:00:00"/>
    <x v="1"/>
    <x v="2"/>
    <x v="2"/>
    <s v="#57"/>
    <n v="12"/>
    <n v="10"/>
    <n v="0.83333333333333337"/>
    <n v="12"/>
    <n v="359"/>
    <n v="4308"/>
    <n v="430.8"/>
    <s v="Jonathan"/>
    <n v="12"/>
    <m/>
    <m/>
    <s v="Startup, shutdown and safety lunch"/>
  </r>
  <r>
    <d v="2026-03-06T00:00:00"/>
    <x v="1"/>
    <x v="2"/>
    <x v="1"/>
    <s v="#57"/>
    <n v="12"/>
    <n v="6.5"/>
    <n v="0.54166666666666663"/>
    <n v="12"/>
    <m/>
    <n v="2136"/>
    <n v="328.61538461538464"/>
    <s v="Rocky"/>
    <n v="12"/>
    <m/>
    <m/>
    <s v="Startup,shutdown and weather "/>
  </r>
  <r>
    <d v="2026-03-10T00:00:00"/>
    <x v="1"/>
    <x v="2"/>
    <x v="1"/>
    <m/>
    <m/>
    <m/>
    <s v=""/>
    <n v="12"/>
    <m/>
    <s v=""/>
    <s v=""/>
    <m/>
    <m/>
    <m/>
    <m/>
    <s v="Don't know how long or how much they ran before thunder strom because they didn't turn in any paperwork"/>
  </r>
  <r>
    <d v="2026-03-11T00:00:00"/>
    <x v="1"/>
    <x v="2"/>
    <x v="1"/>
    <s v="#57"/>
    <n v="12"/>
    <n v="10.8"/>
    <n v="0.9"/>
    <n v="12"/>
    <n v="375"/>
    <n v="4500"/>
    <n v="416.66666666666663"/>
    <s v="Ray"/>
    <n v="12"/>
    <m/>
    <m/>
    <s v="Startup, shutdown,and put DEF in loader "/>
  </r>
  <r>
    <d v="2026-03-12T00:00:00"/>
    <x v="1"/>
    <x v="2"/>
    <x v="2"/>
    <s v="#57"/>
    <n v="12"/>
    <n v="8.6999999999999993"/>
    <n v="0.72499999999999998"/>
    <n v="12"/>
    <n v="323"/>
    <n v="3876"/>
    <n v="445.51724137931041"/>
    <s v="Jonathan"/>
    <n v="12"/>
    <m/>
    <m/>
    <s v="Startup, shutdown and repair skirtboard rubber"/>
  </r>
  <r>
    <d v="2026-03-12T00:00:00"/>
    <x v="1"/>
    <x v="2"/>
    <x v="1"/>
    <s v="#57"/>
    <n v="12"/>
    <n v="10.8"/>
    <n v="0.9"/>
    <n v="12"/>
    <n v="420"/>
    <n v="5040"/>
    <n v="466.66666666666663"/>
    <s v="Ray"/>
    <n v="12"/>
    <m/>
    <m/>
    <s v="Startup, shutdown and put DEF in loader"/>
  </r>
  <r>
    <d v="2026-03-13T00:00:00"/>
    <x v="1"/>
    <x v="2"/>
    <x v="2"/>
    <s v="#57"/>
    <n v="2"/>
    <n v="2"/>
    <n v="1"/>
    <n v="12"/>
    <n v="96"/>
    <n v="1152"/>
    <n v="576"/>
    <s v="Tyler"/>
    <n v="12"/>
    <m/>
    <m/>
    <s v="Just ran for a little bit while we finished changing liners in Kleeman crusher"/>
  </r>
  <r>
    <d v="2026-03-13T00:00:00"/>
    <x v="1"/>
    <x v="2"/>
    <x v="1"/>
    <s v="#57"/>
    <n v="12"/>
    <n v="10.8"/>
    <n v="0.9"/>
    <n v="12"/>
    <n v="340"/>
    <n v="4080"/>
    <n v="377.77777777777777"/>
    <s v="Ray"/>
    <n v="12"/>
    <m/>
    <m/>
    <s v="Startup, shutdown and putting DEF in loader"/>
  </r>
  <r>
    <d v="2026-03-16T00:00:00"/>
    <x v="1"/>
    <x v="2"/>
    <x v="1"/>
    <s v="#57"/>
    <n v="12"/>
    <n v="9"/>
    <n v="0.75"/>
    <n v="12"/>
    <n v="289"/>
    <n v="3468"/>
    <n v="385.33333333333331"/>
    <s v="Michael"/>
    <n v="12"/>
    <m/>
    <m/>
    <s v="Startup and shutdown "/>
  </r>
  <r>
    <d v="2026-03-17T00:00:00"/>
    <x v="1"/>
    <x v="2"/>
    <x v="1"/>
    <s v="#57"/>
    <n v="12"/>
    <n v="9"/>
    <n v="0.75"/>
    <n v="12"/>
    <n v="283"/>
    <n v="3396"/>
    <n v="377.33333333333331"/>
    <s v="Michael"/>
    <n v="12"/>
    <m/>
    <m/>
    <s v="Startup, shutdown and production, maintenance meeting"/>
  </r>
  <r>
    <d v="2026-03-18T00:00:00"/>
    <x v="1"/>
    <x v="2"/>
    <x v="2"/>
    <s v="#57"/>
    <n v="12"/>
    <n v="4"/>
    <n v="0.33333333333333331"/>
    <n v="12"/>
    <n v="163"/>
    <n v="1956"/>
    <n v="489"/>
    <s v="Justin"/>
    <n v="12"/>
    <m/>
    <m/>
    <s v="Startup, shutdown and had to shut plant down and have operator help haul rock from stockpile to load train "/>
  </r>
  <r>
    <d v="2026-03-23T00:00:00"/>
    <x v="1"/>
    <x v="2"/>
    <x v="1"/>
    <s v="#57"/>
    <n v="12"/>
    <m/>
    <n v="0"/>
    <n v="12"/>
    <m/>
    <s v=""/>
    <s v=""/>
    <s v="Calen"/>
    <n v="12"/>
    <m/>
    <m/>
    <s v="No paperwork was just told the belt scales said 4200"/>
  </r>
  <r>
    <d v="2026-03-24T00:00:00"/>
    <x v="1"/>
    <x v="2"/>
    <x v="1"/>
    <s v="#57"/>
    <n v="12"/>
    <n v="10.5"/>
    <n v="0.875"/>
    <n v="12"/>
    <m/>
    <n v="2027"/>
    <n v="193.04761904761904"/>
    <s v="Calen"/>
    <n v="12"/>
    <m/>
    <m/>
    <s v="Startup,shutdown, lunch and bathroom break "/>
  </r>
  <r>
    <d v="2026-03-25T00:00:00"/>
    <x v="1"/>
    <x v="2"/>
    <x v="2"/>
    <s v="#57"/>
    <n v="12"/>
    <n v="10.8"/>
    <n v="0.9"/>
    <n v="12"/>
    <n v="405"/>
    <n v="4860"/>
    <n v="449.99999999999994"/>
    <s v="Jonathan"/>
    <n v="12"/>
    <m/>
    <m/>
    <s v="Startup and shutdown Operator   "/>
  </r>
  <r>
    <d v="2026-03-25T00:00:00"/>
    <x v="1"/>
    <x v="2"/>
    <x v="1"/>
    <s v="#57"/>
    <n v="12"/>
    <n v="10.8"/>
    <n v="0.9"/>
    <n v="12"/>
    <m/>
    <n v="4802"/>
    <n v="444.62962962962962"/>
    <s v="Rocky"/>
    <n v="12"/>
    <m/>
    <m/>
    <s v="Startup and shutdown     Operator will not wright his bucket count down"/>
  </r>
  <r>
    <d v="2026-03-26T00:00:00"/>
    <x v="1"/>
    <x v="2"/>
    <x v="1"/>
    <s v="#57"/>
    <n v="12"/>
    <n v="10"/>
    <n v="0.83333333333333337"/>
    <n v="12"/>
    <m/>
    <n v="4420"/>
    <n v="442"/>
    <s v="Rocky"/>
    <n v="12"/>
    <m/>
    <m/>
    <s v="Startup and shutdown      Still no bucket count wrote down"/>
  </r>
  <r>
    <d v="2026-03-27T00:00:00"/>
    <x v="1"/>
    <x v="2"/>
    <x v="1"/>
    <s v="#57"/>
    <n v="12"/>
    <n v="9.8000000000000007"/>
    <n v="0.81666666666666676"/>
    <n v="12"/>
    <m/>
    <n v="4171"/>
    <n v="425.61224489795916"/>
    <s v="Rocky"/>
    <n v="12"/>
    <m/>
    <m/>
    <s v="Startup and shutdown      Still no bucket count wrote down"/>
  </r>
  <r>
    <d v="2026-03-30T00:00:00"/>
    <x v="1"/>
    <x v="2"/>
    <x v="1"/>
    <s v="#57"/>
    <n v="11"/>
    <n v="9.6999999999999993"/>
    <n v="0.88181818181818172"/>
    <n v="12"/>
    <m/>
    <n v="4331"/>
    <n v="446.4948453608248"/>
    <s v="Rocky"/>
    <n v="11"/>
    <m/>
    <m/>
    <s v="Startup and shutdown      Still no bucket count wrote down"/>
  </r>
  <r>
    <d v="2026-03-31T00:00:00"/>
    <x v="1"/>
    <x v="2"/>
    <x v="1"/>
    <s v="#57"/>
    <n v="12"/>
    <m/>
    <n v="0"/>
    <n v="12"/>
    <m/>
    <n v="4334"/>
    <s v=""/>
    <s v="Rocky"/>
    <m/>
    <m/>
    <m/>
    <s v="Paper work with no bucket count and shutdown time was not correct "/>
  </r>
  <r>
    <d v="2026-04-01T00:00:00"/>
    <x v="1"/>
    <x v="3"/>
    <x v="2"/>
    <s v="#57"/>
    <n v="12"/>
    <n v="10.9"/>
    <n v="0.90833333333333333"/>
    <n v="12.5"/>
    <n v="369"/>
    <n v="4612.5"/>
    <n v="423.16513761467888"/>
    <s v="Jonathan"/>
    <n v="12"/>
    <m/>
    <m/>
    <s v="Startup and shutdown"/>
  </r>
  <r>
    <d v="2026-04-01T00:00:00"/>
    <x v="1"/>
    <x v="3"/>
    <x v="1"/>
    <s v="#57"/>
    <n v="12"/>
    <m/>
    <n v="0"/>
    <n v="12.5"/>
    <n v="169"/>
    <n v="2112.5"/>
    <s v=""/>
    <s v="Rocky"/>
    <n v="12"/>
    <m/>
    <m/>
    <s v="Can't understand paper work. I will get with Leif on this "/>
  </r>
  <r>
    <d v="2026-04-03T00:00:00"/>
    <x v="1"/>
    <x v="3"/>
    <x v="1"/>
    <s v="#57"/>
    <n v="12"/>
    <m/>
    <n v="0"/>
    <n v="13.5"/>
    <m/>
    <s v=""/>
    <s v=""/>
    <s v="Brian"/>
    <n v="12"/>
    <m/>
    <m/>
    <s v="No paperwork I asked him about it and he stated he didn't know he was supposed to do it"/>
  </r>
  <r>
    <d v="2026-04-06T00:00:00"/>
    <x v="1"/>
    <x v="3"/>
    <x v="1"/>
    <s v="#57"/>
    <n v="12"/>
    <n v="8.5"/>
    <n v="0.70833333333333337"/>
    <n v="12"/>
    <n v="179"/>
    <n v="2148"/>
    <n v="252.70588235294119"/>
    <s v="Brian"/>
    <n v="12"/>
    <m/>
    <m/>
    <s v="Stockpile 57 to be rerinsed and bearing out on washed 57 stacker"/>
  </r>
  <r>
    <d v="2026-04-07T00:00:00"/>
    <x v="1"/>
    <x v="3"/>
    <x v="1"/>
    <s v="#57"/>
    <n v="12"/>
    <n v="7.3"/>
    <n v="0.60833333333333328"/>
    <n v="11"/>
    <n v="312"/>
    <n v="3432"/>
    <n v="470.13698630136986"/>
    <s v="Rocky"/>
    <n v="12"/>
    <m/>
    <m/>
    <s v="Startup, shutdown and Power blinked and had to dig out washer "/>
  </r>
  <r>
    <d v="2026-04-08T00:00:00"/>
    <x v="1"/>
    <x v="3"/>
    <x v="1"/>
    <s v="#57"/>
    <n v="12"/>
    <n v="10.6"/>
    <n v="0.8833333333333333"/>
    <n v="11.5"/>
    <n v="432"/>
    <n v="4968"/>
    <n v="468.67924528301887"/>
    <s v="Rocky"/>
    <n v="12"/>
    <m/>
    <m/>
    <s v="Startup and shutdown "/>
  </r>
  <r>
    <d v="2026-04-09T00:00:00"/>
    <x v="1"/>
    <x v="3"/>
    <x v="1"/>
    <s v="#57"/>
    <n v="12"/>
    <n v="10.7"/>
    <n v="0.89166666666666661"/>
    <n v="11.8"/>
    <n v="426"/>
    <n v="5026.8"/>
    <n v="469.79439252336454"/>
    <s v="Rocky"/>
    <n v="12"/>
    <m/>
    <m/>
    <s v="Startup and shutdown"/>
  </r>
  <r>
    <d v="2026-04-10T00:00:00"/>
    <x v="1"/>
    <x v="3"/>
    <x v="1"/>
    <s v="#57"/>
    <n v="12"/>
    <n v="10.8"/>
    <n v="0.9"/>
    <n v="11.8"/>
    <n v="426"/>
    <n v="5026.8"/>
    <n v="465.44444444444446"/>
    <s v="Rocky"/>
    <n v="12"/>
    <m/>
    <m/>
    <s v="Startup and shutdown"/>
  </r>
  <r>
    <d v="2026-04-13T00:00:00"/>
    <x v="1"/>
    <x v="3"/>
    <x v="1"/>
    <s v="#57"/>
    <n v="12"/>
    <n v="10.4"/>
    <n v="0.8666666666666667"/>
    <n v="12.2"/>
    <n v="402"/>
    <n v="4904.3999999999996"/>
    <n v="471.57692307692304"/>
    <s v="Rocky"/>
    <n v="12"/>
    <m/>
    <m/>
    <s v="Startup and shutdown"/>
  </r>
  <r>
    <d v="2026-04-14T00:00:00"/>
    <x v="1"/>
    <x v="3"/>
    <x v="1"/>
    <s v="#57"/>
    <n v="12"/>
    <m/>
    <n v="0"/>
    <n v="11.7"/>
    <n v="436"/>
    <n v="5101.2"/>
    <s v=""/>
    <s v="Rocky"/>
    <n v="12"/>
    <m/>
    <m/>
    <s v="No stop time on paperwork"/>
  </r>
  <r>
    <d v="2026-04-15T00:00:00"/>
    <x v="1"/>
    <x v="3"/>
    <x v="1"/>
    <s v="#57"/>
    <n v="12"/>
    <n v="7.5"/>
    <n v="0.625"/>
    <n v="12.2"/>
    <n v="287"/>
    <n v="3501.3999999999996"/>
    <n v="466.8533333333333"/>
    <s v="Rocky"/>
    <n v="12"/>
    <m/>
    <m/>
    <s v="Thunder storm and shutdown"/>
  </r>
  <r>
    <d v="2026-04-16T00:00:00"/>
    <x v="1"/>
    <x v="3"/>
    <x v="2"/>
    <s v="#57"/>
    <n v="5.4"/>
    <n v="5.4"/>
    <n v="1"/>
    <n v="13.5"/>
    <n v="192"/>
    <n v="2592"/>
    <n v="479.99999999999994"/>
    <s v="Jonathan"/>
    <n v="12"/>
    <m/>
    <m/>
    <s v="Started washing after we cracked a blow bar"/>
  </r>
  <r>
    <d v="2026-04-16T00:00:00"/>
    <x v="1"/>
    <x v="3"/>
    <x v="1"/>
    <s v="#57"/>
    <n v="12"/>
    <n v="10.8"/>
    <n v="0.9"/>
    <n v="11.7"/>
    <n v="437"/>
    <n v="5112.8999999999996"/>
    <n v="473.41666666666663"/>
    <s v="Rocky"/>
    <n v="12"/>
    <m/>
    <m/>
    <s v="Startup and shutdown"/>
  </r>
  <r>
    <d v="2026-04-17T00:00:00"/>
    <x v="1"/>
    <x v="3"/>
    <x v="2"/>
    <s v="#57"/>
    <n v="4.3"/>
    <n v="4.3"/>
    <n v="1"/>
    <n v="13.2"/>
    <n v="144"/>
    <n v="1900.8"/>
    <n v="442.04651162790697"/>
    <s v="Jonathan"/>
    <n v="12"/>
    <m/>
    <m/>
    <s v="Started washing after #1 screen went down"/>
  </r>
  <r>
    <d v="2026-04-17T00:00:00"/>
    <x v="1"/>
    <x v="3"/>
    <x v="1"/>
    <s v="#57"/>
    <n v="12"/>
    <n v="4.5999999999999996"/>
    <n v="0.3833333333333333"/>
    <n v="12.8"/>
    <n v="160"/>
    <n v="2048"/>
    <n v="445.21739130434787"/>
    <s v="Rocky"/>
    <n v="12"/>
    <m/>
    <m/>
    <s v="Change return roller on 57 stacker and storm"/>
  </r>
  <r>
    <d v="2026-04-18T00:00:00"/>
    <x v="1"/>
    <x v="3"/>
    <x v="2"/>
    <s v="#57"/>
    <n v="8"/>
    <n v="6.2"/>
    <n v="0.77500000000000002"/>
    <n v="12.7"/>
    <n v="206"/>
    <n v="2616.1999999999998"/>
    <n v="421.96774193548384"/>
    <s v="Jonathan"/>
    <n v="8"/>
    <m/>
    <m/>
    <s v="Startup and shutdown"/>
  </r>
  <r>
    <d v="2026-04-20T00:00:00"/>
    <x v="1"/>
    <x v="3"/>
    <x v="1"/>
    <s v="#57"/>
    <n v="12"/>
    <n v="10.8"/>
    <n v="0.9"/>
    <n v="12.3"/>
    <n v="392"/>
    <n v="4821"/>
    <n v="446.38888888888886"/>
    <s v="Rocky"/>
    <n v="12"/>
    <m/>
    <m/>
    <s v="Startup and shutdown"/>
  </r>
  <r>
    <d v="2026-04-21T00:00:00"/>
    <x v="1"/>
    <x v="3"/>
    <x v="1"/>
    <s v="#57"/>
    <n v="12"/>
    <n v="4.2"/>
    <n v="0.35000000000000003"/>
    <n v="11.4"/>
    <n v="146"/>
    <n v="1664.4"/>
    <n v="396.28571428571428"/>
    <s v="Rocky"/>
    <n v="12"/>
    <m/>
    <m/>
    <s v="Startup and ran out of rock to wash"/>
  </r>
  <r>
    <d v="2026-04-22T00:00:00"/>
    <x v="1"/>
    <x v="3"/>
    <x v="1"/>
    <s v="#57"/>
    <n v="12"/>
    <n v="10.4"/>
    <n v="0.8666666666666667"/>
    <n v="11.6"/>
    <n v="407"/>
    <n v="4721.2"/>
    <n v="453.96153846153845"/>
    <s v="Rocky"/>
    <n v="12"/>
    <m/>
    <m/>
    <s v="Startup and shutdown"/>
  </r>
  <r>
    <d v="2026-04-23T00:00:00"/>
    <x v="1"/>
    <x v="3"/>
    <x v="1"/>
    <s v="#57"/>
    <n v="12"/>
    <n v="10.7"/>
    <n v="0.89166666666666661"/>
    <n v="12.1"/>
    <n v="408"/>
    <n v="4936.8"/>
    <n v="461.38317757009349"/>
    <s v="Rocky"/>
    <n v="12"/>
    <m/>
    <m/>
    <s v="Startup and shutdown"/>
  </r>
  <r>
    <d v="2026-04-24T00:00:00"/>
    <x v="1"/>
    <x v="3"/>
    <x v="1"/>
    <s v="#57"/>
    <n v="12"/>
    <n v="9.4"/>
    <n v="0.78333333333333333"/>
    <n v="12.1"/>
    <n v="344"/>
    <n v="4162.3999999999996"/>
    <n v="442.80851063829783"/>
    <s v="Rocky"/>
    <n v="12"/>
    <m/>
    <m/>
    <s v="Startup and shutdown"/>
  </r>
  <r>
    <d v="2026-04-25T00:00:00"/>
    <x v="1"/>
    <x v="3"/>
    <x v="2"/>
    <s v="#57"/>
    <n v="2.5"/>
    <n v="2.5"/>
    <n v="1"/>
    <n v="12.9"/>
    <n v="91"/>
    <n v="1173.9000000000001"/>
    <n v="469.56000000000006"/>
    <s v="Tyler"/>
    <n v="10"/>
    <m/>
    <m/>
    <s v="Started washing after getting some maintenance done"/>
  </r>
  <r>
    <d v="2026-04-25T00:00:00"/>
    <x v="1"/>
    <x v="3"/>
    <x v="1"/>
    <s v="#57"/>
    <n v="12"/>
    <m/>
    <n v="0"/>
    <n v="13.5"/>
    <m/>
    <n v="2340"/>
    <s v=""/>
    <m/>
    <n v="12"/>
    <m/>
    <m/>
    <s v="No paper work turn in 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d v="2024-01-03T00:00:00"/>
    <x v="0"/>
    <x v="0"/>
    <m/>
    <n v="246"/>
    <n v="2952"/>
    <s v="3/8"/>
    <n v="407"/>
    <n v="57"/>
    <n v="1618"/>
    <m/>
    <n v="980"/>
    <m/>
    <n v="638"/>
    <m/>
    <n v="1050"/>
    <n v="390"/>
    <n v="0"/>
    <m/>
    <m/>
    <s v="1.75-8"/>
    <m/>
    <n v="7"/>
    <n v="6"/>
    <n v="0.14285714285714285"/>
    <n v="0.8571428571428571"/>
    <m/>
    <m/>
    <n v="65"/>
    <n v="67.833333333333329"/>
    <n v="269.66666666666669"/>
    <m/>
    <n v="106.33333333333333"/>
    <n v="0"/>
    <n v="0"/>
    <n v="0.21612466124661248"/>
    <n v="0"/>
    <n v="0.21612466124661248"/>
    <n v="0"/>
    <n v="175"/>
    <m/>
    <m/>
    <n v="3465"/>
    <n v="577.5"/>
    <m/>
  </r>
  <r>
    <d v="2024-01-04T00:00:00"/>
    <x v="0"/>
    <x v="0"/>
    <m/>
    <n v="336"/>
    <n v="4200"/>
    <s v="3/8"/>
    <n v="458"/>
    <n v="57"/>
    <n v="1312"/>
    <m/>
    <n v="1312"/>
    <m/>
    <n v="0"/>
    <m/>
    <n v="1190"/>
    <n v="442"/>
    <n v="1091"/>
    <m/>
    <m/>
    <s v="1.62-8"/>
    <m/>
    <n v="7.8"/>
    <n v="6.8"/>
    <n v="0.14529914529914531"/>
    <n v="0.87179487179487181"/>
    <m/>
    <m/>
    <n v="65"/>
    <n v="67.352941176470594"/>
    <n v="192.94117647058823"/>
    <m/>
    <m/>
    <n v="0"/>
    <n v="0"/>
    <n v="0"/>
    <n v="0"/>
    <n v="0"/>
    <n v="160.44117647058823"/>
    <n v="175"/>
    <m/>
    <m/>
    <n v="4493"/>
    <n v="660.73529411764707"/>
    <s v="CR screen seard over causing  57 and chips  to transfer to crusher run."/>
  </r>
  <r>
    <d v="2024-01-18T00:00:00"/>
    <x v="0"/>
    <x v="0"/>
    <m/>
    <n v="310"/>
    <n v="3720"/>
    <s v="3/8"/>
    <n v="634"/>
    <n v="57"/>
    <n v="2368"/>
    <m/>
    <n v="1691"/>
    <m/>
    <n v="677"/>
    <m/>
    <n v="1365"/>
    <n v="0"/>
    <n v="0"/>
    <m/>
    <m/>
    <s v="1.62-8"/>
    <m/>
    <n v="9"/>
    <n v="7.8"/>
    <n v="0.14444444444444443"/>
    <n v="0.8666666666666667"/>
    <m/>
    <m/>
    <n v="0"/>
    <n v="81.282051282051285"/>
    <n v="303.58974358974359"/>
    <m/>
    <n v="86.794871794871796"/>
    <n v="0"/>
    <n v="0"/>
    <n v="0.18198924731182795"/>
    <n v="0"/>
    <n v="0.18198924731182795"/>
    <n v="0"/>
    <n v="175"/>
    <m/>
    <m/>
    <n v="4367"/>
    <n v="559.87179487179492"/>
    <s v="Material was froze but ran good. Water was froze most the day."/>
  </r>
  <r>
    <d v="2024-01-30T00:00:00"/>
    <x v="0"/>
    <x v="0"/>
    <m/>
    <n v="183"/>
    <n v="2196"/>
    <s v="3/8"/>
    <n v="320"/>
    <n v="57"/>
    <n v="1005"/>
    <m/>
    <n v="957"/>
    <m/>
    <n v="48"/>
    <m/>
    <n v="857"/>
    <n v="0"/>
    <n v="714"/>
    <m/>
    <m/>
    <s v="1.7-7"/>
    <m/>
    <n v="6"/>
    <n v="4.9000000000000004"/>
    <n v="0.13611111111111113"/>
    <n v="0.81666666666666676"/>
    <m/>
    <m/>
    <n v="0"/>
    <n v="65.306122448979593"/>
    <n v="205.10204081632651"/>
    <m/>
    <m/>
    <n v="0"/>
    <n v="0"/>
    <n v="2.185792349726776E-2"/>
    <n v="0"/>
    <n v="2.185792349726776E-2"/>
    <n v="145.71428571428569"/>
    <n v="174.89795918367346"/>
    <m/>
    <m/>
    <n v="2896"/>
    <n v="591.0204081632653"/>
    <s v="McCourt here speeding screen up. Generator would not start bac, switched to crusher run."/>
  </r>
  <r>
    <d v="2024-01-31T00:00:00"/>
    <x v="0"/>
    <x v="0"/>
    <m/>
    <n v="288"/>
    <n v="3456"/>
    <s v="3/8"/>
    <n v="844"/>
    <n v="57"/>
    <n v="1662"/>
    <m/>
    <n v="1642"/>
    <m/>
    <n v="20"/>
    <m/>
    <n v="1295"/>
    <n v="0"/>
    <n v="1231"/>
    <m/>
    <m/>
    <s v="1.7-7"/>
    <m/>
    <n v="9"/>
    <n v="7.4"/>
    <n v="0.13703703703703704"/>
    <n v="0.8222222222222223"/>
    <m/>
    <m/>
    <n v="0"/>
    <n v="114.05405405405405"/>
    <n v="224.59459459459458"/>
    <m/>
    <m/>
    <n v="0"/>
    <n v="0"/>
    <n v="5.7870370370370367E-3"/>
    <n v="0"/>
    <n v="5.7870370370370367E-3"/>
    <n v="166.35135135135135"/>
    <n v="175"/>
    <m/>
    <m/>
    <n v="5032"/>
    <n v="680"/>
    <s v="Blinded superior screen over with wet material."/>
  </r>
  <r>
    <d v="2024-02-01T00:00:00"/>
    <x v="0"/>
    <x v="1"/>
    <m/>
    <n v="278"/>
    <n v="3336"/>
    <s v="3/8"/>
    <n v="452"/>
    <n v="57"/>
    <n v="1502"/>
    <m/>
    <n v="1502"/>
    <m/>
    <n v="0"/>
    <m/>
    <n v="1137"/>
    <n v="0"/>
    <n v="1304"/>
    <m/>
    <m/>
    <s v="1.5-7"/>
    <m/>
    <n v="8"/>
    <n v="6.5"/>
    <n v="0.13541666666666666"/>
    <n v="0.8125"/>
    <m/>
    <m/>
    <n v="0"/>
    <n v="69.538461538461533"/>
    <n v="231.07692307692307"/>
    <m/>
    <m/>
    <n v="0"/>
    <n v="0"/>
    <n v="0"/>
    <n v="0"/>
    <n v="0"/>
    <n v="200.61538461538461"/>
    <n v="174.92307692307693"/>
    <m/>
    <m/>
    <n v="4395"/>
    <n v="676.15384615384619"/>
    <s v="material wet "/>
  </r>
  <r>
    <d v="2024-02-02T00:00:00"/>
    <x v="0"/>
    <x v="1"/>
    <m/>
    <n v="232"/>
    <n v="2784"/>
    <s v="3/8"/>
    <n v="244"/>
    <n v="57"/>
    <n v="1288"/>
    <m/>
    <n v="1288"/>
    <m/>
    <n v="0"/>
    <m/>
    <n v="945"/>
    <n v="0"/>
    <n v="999"/>
    <m/>
    <m/>
    <s v="1.5-7"/>
    <m/>
    <n v="7"/>
    <n v="5.4"/>
    <n v="0.12857142857142859"/>
    <n v="0.77142857142857146"/>
    <m/>
    <m/>
    <n v="0"/>
    <n v="45.185185185185183"/>
    <n v="238.5185185185185"/>
    <m/>
    <m/>
    <n v="0"/>
    <n v="0"/>
    <n v="0"/>
    <n v="0"/>
    <n v="0"/>
    <n v="185"/>
    <n v="175"/>
    <m/>
    <m/>
    <n v="3476"/>
    <n v="643.7037037037037"/>
    <s v="material wet "/>
  </r>
  <r>
    <d v="2024-02-05T00:00:00"/>
    <x v="0"/>
    <x v="1"/>
    <m/>
    <n v="156"/>
    <n v="1872"/>
    <s v="3/8"/>
    <n v="218"/>
    <n v="57"/>
    <n v="967"/>
    <m/>
    <n v="967"/>
    <m/>
    <n v="0"/>
    <m/>
    <n v="945"/>
    <n v="0"/>
    <n v="706"/>
    <m/>
    <m/>
    <s v="1.5-7"/>
    <m/>
    <n v="8.5"/>
    <n v="5.4"/>
    <n v="0.10588235294117648"/>
    <n v="0.6352941176470589"/>
    <m/>
    <m/>
    <n v="0"/>
    <n v="40.370370370370367"/>
    <n v="179.07407407407408"/>
    <m/>
    <m/>
    <n v="0"/>
    <n v="0"/>
    <n v="0"/>
    <n v="0"/>
    <n v="0"/>
    <n v="130.74074074074073"/>
    <n v="175"/>
    <m/>
    <m/>
    <n v="2836"/>
    <n v="525.18518518518522"/>
    <s v="material wet "/>
  </r>
  <r>
    <d v="2024-02-07T00:00:00"/>
    <x v="0"/>
    <x v="1"/>
    <m/>
    <n v="189"/>
    <n v="2268"/>
    <s v="3/8"/>
    <n v="292"/>
    <n v="57"/>
    <n v="979"/>
    <m/>
    <n v="979"/>
    <m/>
    <n v="0"/>
    <m/>
    <n v="892"/>
    <n v="0"/>
    <n v="892"/>
    <m/>
    <m/>
    <s v="1.5-7"/>
    <m/>
    <n v="7"/>
    <n v="5.0999999999999996"/>
    <n v="0.12142857142857141"/>
    <n v="0.72857142857142854"/>
    <m/>
    <m/>
    <n v="0"/>
    <n v="57.254901960784316"/>
    <n v="191.9607843137255"/>
    <m/>
    <m/>
    <n v="0"/>
    <n v="0"/>
    <n v="0"/>
    <n v="0"/>
    <n v="0"/>
    <n v="174.90196078431373"/>
    <n v="174.90196078431373"/>
    <m/>
    <m/>
    <n v="3055"/>
    <n v="599.01960784313724"/>
    <s v="material wet "/>
  </r>
  <r>
    <d v="2024-02-08T00:00:00"/>
    <x v="0"/>
    <x v="1"/>
    <m/>
    <n v="282"/>
    <n v="3384"/>
    <s v="3/8"/>
    <n v="60"/>
    <n v="57"/>
    <n v="1915"/>
    <m/>
    <n v="1915"/>
    <m/>
    <n v="0"/>
    <m/>
    <n v="1365"/>
    <n v="0"/>
    <n v="1216"/>
    <m/>
    <m/>
    <s v="1.5-7"/>
    <m/>
    <n v="9"/>
    <n v="7.8"/>
    <n v="0.14444444444444443"/>
    <n v="0.8666666666666667"/>
    <m/>
    <m/>
    <n v="0"/>
    <n v="7.6923076923076925"/>
    <n v="245.51282051282053"/>
    <m/>
    <m/>
    <n v="0"/>
    <n v="0"/>
    <n v="0"/>
    <n v="0"/>
    <n v="0"/>
    <n v="155.89743589743591"/>
    <n v="175"/>
    <m/>
    <m/>
    <n v="4556"/>
    <n v="584.1025641025642"/>
    <s v="material wet "/>
  </r>
  <r>
    <d v="2024-02-09T00:00:00"/>
    <x v="0"/>
    <x v="1"/>
    <m/>
    <n v="169"/>
    <n v="2028"/>
    <s v="3/8"/>
    <n v="0"/>
    <n v="57"/>
    <n v="1086"/>
    <m/>
    <n v="1086"/>
    <m/>
    <n v="0"/>
    <m/>
    <n v="840"/>
    <n v="0"/>
    <n v="656"/>
    <m/>
    <m/>
    <s v="1.5-7"/>
    <m/>
    <n v="6"/>
    <n v="4.8"/>
    <n v="0.13333333333333333"/>
    <n v="0.79999999999999993"/>
    <m/>
    <m/>
    <n v="0"/>
    <n v="0"/>
    <n v="226.25"/>
    <m/>
    <m/>
    <n v="0"/>
    <n v="0"/>
    <n v="0"/>
    <n v="0"/>
    <n v="0"/>
    <n v="136.66666666666669"/>
    <n v="175"/>
    <m/>
    <m/>
    <n v="2582"/>
    <n v="537.91666666666674"/>
    <s v="Finished wet material on ramp."/>
  </r>
  <r>
    <d v="2024-02-22T00:00:00"/>
    <x v="0"/>
    <x v="1"/>
    <m/>
    <n v="303"/>
    <n v="3636"/>
    <s v="3/8"/>
    <n v="106"/>
    <n v="57"/>
    <n v="1625"/>
    <m/>
    <n v="1130"/>
    <m/>
    <n v="495"/>
    <m/>
    <n v="1102"/>
    <n v="0"/>
    <n v="0"/>
    <m/>
    <m/>
    <s v="1.5-7"/>
    <m/>
    <n v="7"/>
    <n v="6.3"/>
    <n v="0.15"/>
    <n v="0.9"/>
    <m/>
    <m/>
    <n v="0"/>
    <n v="16.825396825396826"/>
    <n v="257.93650793650795"/>
    <m/>
    <n v="78.571428571428569"/>
    <n v="0"/>
    <n v="0"/>
    <n v="0.13613861386138615"/>
    <n v="0"/>
    <n v="0.13613861386138615"/>
    <n v="0"/>
    <n v="174.92063492063494"/>
    <m/>
    <m/>
    <n v="2833"/>
    <n v="449.6825396825397"/>
    <s v="1445 tons of 3&quot; serge"/>
  </r>
  <r>
    <d v="2024-02-26T00:00:00"/>
    <x v="0"/>
    <x v="1"/>
    <m/>
    <n v="236"/>
    <n v="2832"/>
    <s v="3/8"/>
    <n v="33"/>
    <n v="57"/>
    <n v="1232"/>
    <m/>
    <n v="985"/>
    <m/>
    <n v="247"/>
    <m/>
    <n v="962"/>
    <n v="0"/>
    <n v="1134"/>
    <m/>
    <m/>
    <s v="1.5-7"/>
    <m/>
    <n v="6"/>
    <n v="5.5"/>
    <n v="0.15277777777777779"/>
    <n v="0.91666666666666663"/>
    <m/>
    <m/>
    <n v="0"/>
    <n v="6"/>
    <n v="224"/>
    <m/>
    <n v="44.909090909090907"/>
    <n v="0"/>
    <n v="0"/>
    <n v="8.721751412429378E-2"/>
    <n v="0"/>
    <n v="8.721751412429378E-2"/>
    <n v="206.18181818181819"/>
    <n v="174.90909090909091"/>
    <m/>
    <m/>
    <n v="3361"/>
    <n v="611.09090909090912"/>
    <s v="1030 tons of 3&quot;"/>
  </r>
  <r>
    <d v="2024-02-28T00:00:00"/>
    <x v="0"/>
    <x v="1"/>
    <m/>
    <n v="270"/>
    <n v="3240"/>
    <s v="3/8"/>
    <n v="118"/>
    <n v="57"/>
    <n v="2147"/>
    <m/>
    <n v="1664"/>
    <m/>
    <n v="483"/>
    <m/>
    <n v="1312"/>
    <n v="0"/>
    <n v="0"/>
    <m/>
    <m/>
    <s v="1.5-7"/>
    <m/>
    <n v="9"/>
    <n v="7.5"/>
    <n v="0.1388888888888889"/>
    <n v="0.83333333333333337"/>
    <m/>
    <m/>
    <n v="0"/>
    <n v="15.733333333333333"/>
    <n v="286.26666666666665"/>
    <m/>
    <n v="64.400000000000006"/>
    <n v="0"/>
    <n v="0"/>
    <n v="0.14907407407407408"/>
    <n v="0"/>
    <n v="0.14907407407407408"/>
    <n v="0"/>
    <n v="174.93333333333334"/>
    <m/>
    <m/>
    <n v="3577"/>
    <n v="476.93333333333334"/>
    <s v="25 minutes 304 code trip pre screener"/>
  </r>
  <r>
    <d v="2024-02-29T00:00:00"/>
    <x v="0"/>
    <x v="1"/>
    <m/>
    <n v="113"/>
    <n v="1356"/>
    <s v="3/8"/>
    <n v="64"/>
    <n v="57"/>
    <n v="926"/>
    <m/>
    <n v="741"/>
    <m/>
    <n v="185"/>
    <m/>
    <n v="700"/>
    <n v="0"/>
    <n v="0"/>
    <m/>
    <m/>
    <s v="1.5-7"/>
    <m/>
    <n v="9"/>
    <n v="4"/>
    <n v="7.407407407407407E-2"/>
    <n v="0.44444444444444442"/>
    <m/>
    <m/>
    <n v="0"/>
    <n v="16"/>
    <n v="231.5"/>
    <m/>
    <n v="46.25"/>
    <n v="0"/>
    <n v="0"/>
    <n v="0.1364306784660767"/>
    <n v="0"/>
    <n v="0.1364306784660767"/>
    <n v="0"/>
    <n v="175"/>
    <m/>
    <m/>
    <n v="1690"/>
    <n v="422.5"/>
    <s v="304 Codes and splice belt from splitter to screen 2"/>
  </r>
  <r>
    <d v="2024-03-01T00:00:00"/>
    <x v="0"/>
    <x v="2"/>
    <m/>
    <n v="163"/>
    <n v="1956"/>
    <s v="3/8"/>
    <n v="84"/>
    <n v="57"/>
    <n v="1481"/>
    <m/>
    <n v="1047"/>
    <m/>
    <n v="434"/>
    <m/>
    <n v="752"/>
    <n v="0"/>
    <n v="0"/>
    <m/>
    <m/>
    <s v="1.5-7"/>
    <m/>
    <n v="7"/>
    <n v="4.8"/>
    <n v="0.11428571428571428"/>
    <n v="0.68571428571428572"/>
    <m/>
    <m/>
    <n v="0"/>
    <n v="17.5"/>
    <n v="308.54166666666669"/>
    <m/>
    <n v="90.416666666666671"/>
    <n v="0"/>
    <n v="0"/>
    <n v="0.22188139059304704"/>
    <n v="0"/>
    <n v="0.22188139059304704"/>
    <n v="0"/>
    <n v="156.66666666666669"/>
    <m/>
    <m/>
    <n v="2317"/>
    <n v="482.70833333333337"/>
    <m/>
  </r>
  <r>
    <d v="2024-03-04T00:00:00"/>
    <x v="0"/>
    <x v="2"/>
    <m/>
    <n v="372"/>
    <n v="4464"/>
    <s v="3/8"/>
    <n v="0"/>
    <n v="57"/>
    <n v="0"/>
    <m/>
    <n v="0"/>
    <m/>
    <n v="0"/>
    <m/>
    <n v="0"/>
    <n v="0"/>
    <n v="3642"/>
    <m/>
    <m/>
    <s v="1.5-7"/>
    <m/>
    <n v="8"/>
    <n v="7"/>
    <n v="0.14583333333333334"/>
    <n v="0.875"/>
    <m/>
    <m/>
    <n v="0"/>
    <n v="0"/>
    <n v="0"/>
    <m/>
    <m/>
    <n v="0"/>
    <n v="0"/>
    <n v="0"/>
    <n v="0"/>
    <n v="0"/>
    <n v="520.28571428571433"/>
    <n v="0"/>
    <m/>
    <m/>
    <n v="3642"/>
    <n v="520.28571428571433"/>
    <s v="3&quot; 1696, CR 1717, ODOT 1925"/>
  </r>
  <r>
    <d v="2024-03-05T00:00:00"/>
    <x v="0"/>
    <x v="2"/>
    <m/>
    <n v="178"/>
    <n v="2136"/>
    <s v="3/8"/>
    <n v="0"/>
    <n v="57"/>
    <n v="0"/>
    <m/>
    <n v="0"/>
    <m/>
    <n v="0"/>
    <m/>
    <n v="0"/>
    <n v="0"/>
    <n v="1687"/>
    <m/>
    <m/>
    <s v="1.5-7"/>
    <m/>
    <n v="5"/>
    <n v="3.4"/>
    <n v="0.11333333333333333"/>
    <n v="0.67999999999999994"/>
    <m/>
    <m/>
    <n v="0"/>
    <n v="0"/>
    <n v="0"/>
    <m/>
    <m/>
    <n v="0"/>
    <n v="0"/>
    <n v="0"/>
    <n v="0"/>
    <n v="0"/>
    <n v="496.1764705882353"/>
    <n v="0"/>
    <m/>
    <m/>
    <n v="1687"/>
    <n v="496.1764705882353"/>
    <s v="3&quot; 770 , CR 792 , ODOT 935"/>
  </r>
  <r>
    <d v="2024-03-07T00:00:00"/>
    <x v="0"/>
    <x v="2"/>
    <m/>
    <n v="385"/>
    <n v="4620"/>
    <s v="3/8"/>
    <n v="0"/>
    <n v="57"/>
    <n v="0"/>
    <m/>
    <n v="0"/>
    <m/>
    <n v="0"/>
    <m/>
    <n v="0"/>
    <n v="0"/>
    <n v="2049"/>
    <n v="1646"/>
    <n v="2090"/>
    <s v="1.57"/>
    <m/>
    <n v="9"/>
    <n v="7.6"/>
    <n v="0.14074074074074072"/>
    <n v="0.84444444444444444"/>
    <m/>
    <m/>
    <n v="0"/>
    <n v="0"/>
    <n v="0"/>
    <m/>
    <m/>
    <n v="0"/>
    <n v="0"/>
    <n v="0"/>
    <n v="0"/>
    <n v="0"/>
    <n v="269.60526315789474"/>
    <n v="0"/>
    <n v="216.57894736842107"/>
    <n v="275"/>
    <n v="2049"/>
    <n v="761.18421052631584"/>
    <m/>
  </r>
  <r>
    <d v="2024-03-08T00:00:00"/>
    <x v="0"/>
    <x v="2"/>
    <m/>
    <n v="352"/>
    <n v="4224"/>
    <s v="3/8"/>
    <n v="0"/>
    <n v="57"/>
    <n v="0"/>
    <m/>
    <n v="0"/>
    <m/>
    <n v="0"/>
    <m/>
    <n v="0"/>
    <n v="0"/>
    <n v="1296"/>
    <n v="1676"/>
    <n v="1952"/>
    <s v="1.5-7"/>
    <m/>
    <n v="9"/>
    <n v="7.1"/>
    <n v="0.13148148148148148"/>
    <n v="0.78888888888888886"/>
    <m/>
    <m/>
    <n v="0"/>
    <n v="0"/>
    <n v="0"/>
    <m/>
    <m/>
    <n v="0"/>
    <n v="0"/>
    <n v="0"/>
    <n v="0"/>
    <n v="0"/>
    <n v="182.53521126760563"/>
    <n v="0"/>
    <n v="236.05633802816902"/>
    <n v="274.92957746478874"/>
    <n v="1296"/>
    <n v="418.59154929577466"/>
    <m/>
  </r>
  <r>
    <d v="2024-03-11T00:00:00"/>
    <x v="0"/>
    <x v="2"/>
    <m/>
    <n v="118"/>
    <n v="1416"/>
    <s v="3/8"/>
    <n v="285"/>
    <n v="57"/>
    <n v="1035"/>
    <m/>
    <n v="722"/>
    <m/>
    <n v="313"/>
    <m/>
    <n v="574"/>
    <n v="0"/>
    <n v="0"/>
    <n v="0"/>
    <n v="0"/>
    <s v="1.5-7"/>
    <m/>
    <n v="9"/>
    <n v="6.6"/>
    <n v="0.12222222222222222"/>
    <n v="0.73333333333333328"/>
    <m/>
    <m/>
    <n v="0"/>
    <n v="43.181818181818187"/>
    <n v="156.81818181818181"/>
    <m/>
    <n v="47.424242424242429"/>
    <n v="0"/>
    <n v="0"/>
    <n v="0.221045197740113"/>
    <n v="0"/>
    <n v="0.221045197740113"/>
    <n v="0"/>
    <n v="86.969696969696969"/>
    <n v="0"/>
    <n v="0"/>
    <n v="1894"/>
    <n v="286.969696969697"/>
    <m/>
  </r>
  <r>
    <d v="2024-03-12T00:00:00"/>
    <x v="0"/>
    <x v="2"/>
    <m/>
    <n v="225"/>
    <n v="2700"/>
    <s v="3/8"/>
    <n v="275"/>
    <n v="57"/>
    <n v="1601"/>
    <m/>
    <n v="1196"/>
    <m/>
    <n v="405"/>
    <m/>
    <n v="1172"/>
    <n v="0"/>
    <n v="0"/>
    <n v="0"/>
    <n v="0"/>
    <s v="1.5-7"/>
    <m/>
    <n v="9"/>
    <n v="6.7"/>
    <n v="0.12407407407407407"/>
    <n v="0.74444444444444446"/>
    <m/>
    <m/>
    <n v="0"/>
    <n v="41.044776119402982"/>
    <n v="238.955223880597"/>
    <m/>
    <n v="60.447761194029852"/>
    <n v="0"/>
    <n v="0"/>
    <n v="0.15"/>
    <n v="0"/>
    <n v="0.15"/>
    <n v="0"/>
    <n v="174.92537313432837"/>
    <n v="0"/>
    <n v="0"/>
    <n v="3048"/>
    <n v="454.92537313432831"/>
    <m/>
  </r>
  <r>
    <d v="2024-03-25T00:00:00"/>
    <x v="0"/>
    <x v="2"/>
    <m/>
    <n v="179"/>
    <n v="2148"/>
    <s v="3/8"/>
    <n v="75"/>
    <n v="57"/>
    <n v="1215"/>
    <m/>
    <n v="1158"/>
    <m/>
    <n v="57"/>
    <m/>
    <n v="1435"/>
    <n v="0"/>
    <n v="1141"/>
    <n v="0"/>
    <n v="0"/>
    <s v="1.5-7"/>
    <m/>
    <n v="9"/>
    <n v="8.1999999999999993"/>
    <n v="0.15185185185185185"/>
    <n v="0.91111111111111098"/>
    <m/>
    <m/>
    <n v="0"/>
    <n v="9.1463414634146343"/>
    <n v="148.17073170731709"/>
    <m/>
    <n v="6.9512195121951228"/>
    <n v="0"/>
    <n v="0"/>
    <n v="2.6536312849162011E-2"/>
    <n v="0"/>
    <n v="2.6536312849162011E-2"/>
    <n v="139.14634146341464"/>
    <n v="175.00000000000003"/>
    <n v="0"/>
    <n v="0"/>
    <n v="3866"/>
    <n v="471.46341463414637"/>
    <m/>
  </r>
  <r>
    <d v="2024-03-28T00:00:00"/>
    <x v="0"/>
    <x v="2"/>
    <m/>
    <n v="143"/>
    <n v="1716"/>
    <s v="3/8"/>
    <n v="180"/>
    <n v="57"/>
    <n v="1284"/>
    <m/>
    <n v="991"/>
    <m/>
    <n v="293"/>
    <m/>
    <n v="726"/>
    <n v="0"/>
    <n v="0"/>
    <n v="0"/>
    <n v="0"/>
    <s v="2-7"/>
    <m/>
    <n v="9"/>
    <n v="4.0999999999999996"/>
    <n v="7.5925925925925924E-2"/>
    <n v="0.45555555555555549"/>
    <m/>
    <m/>
    <n v="0"/>
    <n v="43.902439024390247"/>
    <n v="313.17073170731709"/>
    <m/>
    <n v="71.463414634146346"/>
    <n v="0"/>
    <n v="0"/>
    <n v="0.17074592074592074"/>
    <n v="0"/>
    <n v="0.17074592074592074"/>
    <n v="0"/>
    <n v="177.07317073170734"/>
    <n v="0"/>
    <n v="0"/>
    <n v="2190"/>
    <n v="534.14634146341461"/>
    <m/>
  </r>
  <r>
    <d v="2024-03-29T00:00:00"/>
    <x v="0"/>
    <x v="2"/>
    <m/>
    <n v="207"/>
    <n v="2484"/>
    <s v="3/8"/>
    <n v="195"/>
    <n v="57"/>
    <n v="1547"/>
    <m/>
    <n v="1176"/>
    <m/>
    <n v="371"/>
    <m/>
    <n v="1050"/>
    <n v="0"/>
    <n v="0"/>
    <n v="0"/>
    <n v="0"/>
    <s v="2-7"/>
    <m/>
    <n v="7"/>
    <n v="6"/>
    <n v="0.14285714285714285"/>
    <n v="0.8571428571428571"/>
    <m/>
    <m/>
    <n v="0"/>
    <n v="32.5"/>
    <n v="257.83333333333331"/>
    <m/>
    <n v="61.833333333333336"/>
    <n v="0"/>
    <n v="0"/>
    <n v="0.14935587761674718"/>
    <n v="0"/>
    <n v="0.14935587761674718"/>
    <n v="0"/>
    <n v="175"/>
    <n v="0"/>
    <n v="0"/>
    <n v="2792"/>
    <n v="465.33333333333331"/>
    <m/>
  </r>
  <r>
    <d v="2024-04-01T00:00:00"/>
    <x v="0"/>
    <x v="3"/>
    <m/>
    <n v="249"/>
    <n v="2988"/>
    <s v="3/8"/>
    <n v="79"/>
    <n v="57"/>
    <n v="1500"/>
    <m/>
    <n v="1500"/>
    <m/>
    <n v="0"/>
    <m/>
    <n v="1470"/>
    <n v="0"/>
    <n v="1470"/>
    <n v="0"/>
    <n v="0"/>
    <s v="2-7"/>
    <m/>
    <n v="9"/>
    <n v="8.4"/>
    <n v="0.15555555555555556"/>
    <n v="0.93333333333333335"/>
    <m/>
    <m/>
    <n v="0"/>
    <n v="9.4047619047619051"/>
    <n v="178.57142857142856"/>
    <m/>
    <m/>
    <n v="0"/>
    <n v="0"/>
    <n v="0"/>
    <n v="0"/>
    <n v="0"/>
    <n v="175"/>
    <n v="175"/>
    <n v="0"/>
    <n v="0"/>
    <n v="4519"/>
    <n v="537.97619047619048"/>
    <s v="matrial wet and tacky"/>
  </r>
  <r>
    <d v="2024-04-02T00:00:00"/>
    <x v="0"/>
    <x v="3"/>
    <m/>
    <n v="190"/>
    <n v="2280"/>
    <s v="3/8"/>
    <n v="60"/>
    <n v="57"/>
    <n v="1153"/>
    <m/>
    <n v="1153"/>
    <m/>
    <n v="0"/>
    <m/>
    <n v="1163"/>
    <n v="0"/>
    <n v="1140"/>
    <n v="0"/>
    <n v="0"/>
    <s v="2-7"/>
    <m/>
    <n v="9"/>
    <n v="6.6"/>
    <n v="0.12222222222222222"/>
    <n v="0.73333333333333328"/>
    <m/>
    <m/>
    <n v="0"/>
    <n v="9.0909090909090917"/>
    <n v="174.69696969696972"/>
    <m/>
    <m/>
    <n v="0"/>
    <n v="0"/>
    <n v="0"/>
    <n v="0"/>
    <n v="0"/>
    <n v="172.72727272727275"/>
    <n v="176.21212121212122"/>
    <n v="0"/>
    <n v="0"/>
    <n v="3516"/>
    <n v="532.72727272727286"/>
    <s v="80 minutes on 304 code trip prescreener"/>
  </r>
  <r>
    <d v="2024-04-03T00:00:00"/>
    <x v="0"/>
    <x v="3"/>
    <m/>
    <n v="249"/>
    <n v="2988"/>
    <s v="3/8"/>
    <n v="62"/>
    <n v="57"/>
    <n v="1581"/>
    <m/>
    <n v="1486"/>
    <m/>
    <n v="95"/>
    <m/>
    <n v="1417"/>
    <n v="0"/>
    <n v="1000"/>
    <n v="0"/>
    <n v="0"/>
    <s v="2-7"/>
    <m/>
    <n v="9"/>
    <n v="8.1"/>
    <n v="0.15"/>
    <n v="0.89999999999999991"/>
    <m/>
    <m/>
    <n v="0"/>
    <n v="7.6543209876543212"/>
    <n v="195.18518518518519"/>
    <m/>
    <m/>
    <n v="0"/>
    <n v="0"/>
    <n v="3.179384203480589E-2"/>
    <n v="0"/>
    <n v="3.179384203480589E-2"/>
    <n v="123.4567901234568"/>
    <n v="174.93827160493828"/>
    <n v="0"/>
    <n v="0"/>
    <n v="4060"/>
    <n v="501.23456790123458"/>
    <s v="19 minutes run at 50.5 hertz"/>
  </r>
  <r>
    <d v="2024-04-08T00:00:00"/>
    <x v="0"/>
    <x v="3"/>
    <m/>
    <n v="190"/>
    <n v="2280"/>
    <s v="3/8"/>
    <n v="109"/>
    <n v="57"/>
    <n v="1447"/>
    <m/>
    <n v="1072"/>
    <m/>
    <n v="375"/>
    <m/>
    <n v="1102"/>
    <n v="0"/>
    <n v="0"/>
    <n v="0"/>
    <n v="0"/>
    <s v="2-7"/>
    <m/>
    <n v="8"/>
    <n v="6.3"/>
    <n v="0.13125000000000001"/>
    <n v="0.78749999999999998"/>
    <m/>
    <m/>
    <n v="0"/>
    <n v="17.301587301587301"/>
    <n v="229.6825396825397"/>
    <m/>
    <n v="59.523809523809526"/>
    <n v="0"/>
    <n v="0"/>
    <n v="0.16447368421052633"/>
    <n v="0"/>
    <n v="0.16447368421052633"/>
    <n v="0"/>
    <n v="174.92063492063494"/>
    <n v="0"/>
    <n v="0"/>
    <n v="2658"/>
    <n v="421.90476190476193"/>
    <s v="2- 304 code 9 minutes  50.12 hertz"/>
  </r>
  <r>
    <d v="2024-04-16T00:00:00"/>
    <x v="0"/>
    <x v="3"/>
    <m/>
    <n v="187"/>
    <n v="2244"/>
    <s v="3/8"/>
    <n v="146"/>
    <n v="57"/>
    <n v="1448"/>
    <m/>
    <n v="1120"/>
    <m/>
    <n v="328"/>
    <m/>
    <n v="1242"/>
    <n v="0"/>
    <n v="0"/>
    <n v="0"/>
    <n v="0"/>
    <s v="2-7"/>
    <m/>
    <n v="8"/>
    <n v="7.1"/>
    <n v="0.14791666666666667"/>
    <n v="0.88749999999999996"/>
    <m/>
    <m/>
    <n v="0"/>
    <n v="20.563380281690144"/>
    <n v="203.94366197183101"/>
    <m/>
    <n v="46.197183098591552"/>
    <n v="0"/>
    <n v="0"/>
    <n v="0.14616755793226383"/>
    <n v="0"/>
    <n v="0.14616755793226383"/>
    <n v="0"/>
    <n v="174.92957746478874"/>
    <n v="0"/>
    <n v="0"/>
    <n v="2836"/>
    <n v="399.43661971830988"/>
    <s v="51 hertz 3-304 codes."/>
  </r>
  <r>
    <d v="2024-04-17T00:00:00"/>
    <x v="0"/>
    <x v="3"/>
    <m/>
    <n v="189"/>
    <n v="2268"/>
    <s v="3/8"/>
    <n v="149"/>
    <n v="57"/>
    <n v="1434"/>
    <m/>
    <n v="1076"/>
    <m/>
    <n v="358"/>
    <m/>
    <n v="1155"/>
    <n v="0"/>
    <n v="0"/>
    <n v="0"/>
    <n v="0"/>
    <s v="1.75-7"/>
    <m/>
    <n v="8"/>
    <n v="6.6"/>
    <n v="0.13749999999999998"/>
    <n v="0.82499999999999996"/>
    <m/>
    <m/>
    <n v="0"/>
    <n v="22.575757575757578"/>
    <n v="217.27272727272728"/>
    <m/>
    <n v="54.242424242424242"/>
    <n v="0"/>
    <n v="0"/>
    <n v="0.15784832451499117"/>
    <n v="0"/>
    <n v="0.15784832451499117"/>
    <n v="0"/>
    <n v="175"/>
    <n v="0"/>
    <n v="0"/>
    <n v="2738"/>
    <n v="414.84848484848482"/>
    <s v="50 hertz 3-304 codes"/>
  </r>
  <r>
    <d v="2024-04-22T00:00:00"/>
    <x v="0"/>
    <x v="3"/>
    <m/>
    <n v="115"/>
    <n v="1380"/>
    <s v="3/8"/>
    <n v="93"/>
    <n v="57"/>
    <n v="893"/>
    <m/>
    <n v="636"/>
    <m/>
    <n v="257"/>
    <m/>
    <n v="659"/>
    <n v="0"/>
    <n v="0"/>
    <n v="0"/>
    <n v="0"/>
    <s v="1.75-7"/>
    <m/>
    <n v="5"/>
    <n v="3.7"/>
    <n v="0.12333333333333334"/>
    <n v="0.74"/>
    <m/>
    <m/>
    <n v="0"/>
    <n v="25.135135135135133"/>
    <n v="241.35135135135133"/>
    <m/>
    <n v="69.459459459459453"/>
    <n v="0"/>
    <n v="0"/>
    <n v="0.186231884057971"/>
    <n v="0"/>
    <n v="0.186231884057971"/>
    <n v="0"/>
    <n v="178.1081081081081"/>
    <n v="0"/>
    <n v="0"/>
    <n v="1645"/>
    <n v="444.59459459459458"/>
    <s v="2 - 304 codes 10 minutes at 50 Hertz"/>
  </r>
  <r>
    <d v="2024-04-24T00:00:00"/>
    <x v="0"/>
    <x v="3"/>
    <m/>
    <n v="216"/>
    <n v="2592"/>
    <s v="3/8"/>
    <n v="148"/>
    <n v="57"/>
    <n v="1719"/>
    <m/>
    <n v="1310"/>
    <m/>
    <n v="409"/>
    <m/>
    <n v="1242"/>
    <n v="0"/>
    <n v="0"/>
    <n v="0"/>
    <n v="0"/>
    <s v="1.75-7"/>
    <m/>
    <n v="9"/>
    <n v="7.1"/>
    <n v="0.13148148148148148"/>
    <n v="0.78888888888888886"/>
    <m/>
    <m/>
    <n v="0"/>
    <n v="20.845070422535212"/>
    <n v="242.11267605633805"/>
    <m/>
    <n v="57.605633802816904"/>
    <n v="0"/>
    <n v="0"/>
    <n v="0.15779320987654322"/>
    <n v="0"/>
    <n v="0.15779320987654322"/>
    <n v="0"/>
    <n v="174.92957746478874"/>
    <n v="0"/>
    <n v="0"/>
    <n v="3109"/>
    <n v="437.88732394366201"/>
    <s v="50.6 hertz  18 304 codes for 99 miuntes"/>
  </r>
  <r>
    <d v="2024-04-25T00:00:00"/>
    <x v="0"/>
    <x v="3"/>
    <m/>
    <n v="214"/>
    <n v="2568"/>
    <s v="3/8"/>
    <n v="160"/>
    <n v="57"/>
    <n v="1521"/>
    <m/>
    <n v="1158"/>
    <m/>
    <n v="363"/>
    <m/>
    <n v="1120"/>
    <n v="0"/>
    <n v="0"/>
    <n v="0"/>
    <n v="0"/>
    <s v="1.75-7"/>
    <m/>
    <n v="7.5"/>
    <n v="6.4"/>
    <n v="0.14222222222222222"/>
    <n v="0.85333333333333339"/>
    <m/>
    <m/>
    <n v="0"/>
    <n v="25"/>
    <n v="237.65625"/>
    <m/>
    <n v="56.71875"/>
    <n v="0"/>
    <n v="0"/>
    <n v="0.14135514018691589"/>
    <n v="0"/>
    <n v="0.14135514018691589"/>
    <n v="0"/>
    <n v="175"/>
    <n v="0"/>
    <n v="0"/>
    <n v="2801"/>
    <n v="437.65625"/>
    <s v="50.6 Hertz 8 - 304 codes 40 minutes"/>
  </r>
  <r>
    <d v="2024-05-01T00:00:00"/>
    <x v="0"/>
    <x v="4"/>
    <m/>
    <n v="154"/>
    <n v="1848"/>
    <s v="3/8"/>
    <n v="133"/>
    <n v="57"/>
    <n v="1362"/>
    <m/>
    <n v="1100"/>
    <m/>
    <n v="262"/>
    <m/>
    <n v="1032"/>
    <n v="0"/>
    <n v="0"/>
    <n v="0"/>
    <n v="0"/>
    <s v="1.75-7"/>
    <m/>
    <n v="9"/>
    <n v="5.9"/>
    <n v="0.10925925925925926"/>
    <n v="0.65555555555555556"/>
    <m/>
    <m/>
    <n v="0"/>
    <n v="22.542372881355931"/>
    <n v="230.84745762711864"/>
    <m/>
    <n v="44.406779661016948"/>
    <n v="0"/>
    <n v="0"/>
    <n v="0.14177489177489178"/>
    <n v="0"/>
    <n v="0.14177489177489178"/>
    <n v="0"/>
    <n v="174.91525423728814"/>
    <n v="0"/>
    <n v="0"/>
    <n v="2527"/>
    <n v="428.30508474576277"/>
    <s v="50 hertz 28-304 codes"/>
  </r>
  <r>
    <d v="2024-05-02T00:00:00"/>
    <x v="0"/>
    <x v="4"/>
    <m/>
    <n v="165"/>
    <n v="1980"/>
    <s v="3/8"/>
    <n v="154"/>
    <n v="57"/>
    <n v="1329"/>
    <m/>
    <n v="1009"/>
    <m/>
    <n v="320"/>
    <m/>
    <n v="1102"/>
    <n v="0"/>
    <n v="0"/>
    <n v="0"/>
    <n v="0"/>
    <s v="1.75-7"/>
    <m/>
    <n v="9"/>
    <n v="6.3"/>
    <n v="0.11666666666666667"/>
    <n v="0.7"/>
    <m/>
    <m/>
    <n v="0"/>
    <n v="24.444444444444446"/>
    <n v="210.95238095238096"/>
    <m/>
    <n v="50.793650793650798"/>
    <n v="0"/>
    <n v="0"/>
    <n v="0.16161616161616163"/>
    <n v="0"/>
    <n v="0.16161616161616163"/>
    <n v="0"/>
    <n v="174.92063492063494"/>
    <n v="0"/>
    <n v="0"/>
    <n v="2585"/>
    <n v="410.31746031746036"/>
    <s v="11-304 codes 49.5 hertz 46 minutes stock pileing "/>
  </r>
  <r>
    <d v="2024-05-03T00:00:00"/>
    <x v="0"/>
    <x v="4"/>
    <m/>
    <n v="168"/>
    <n v="2016"/>
    <s v="3/8"/>
    <n v="81"/>
    <n v="57"/>
    <n v="1118"/>
    <m/>
    <n v="1118"/>
    <m/>
    <n v="0"/>
    <m/>
    <n v="1268"/>
    <n v="0"/>
    <n v="1011"/>
    <n v="0"/>
    <n v="0"/>
    <s v="1.75-7"/>
    <m/>
    <n v="9"/>
    <n v="7.2"/>
    <n v="0.13333333333333333"/>
    <n v="0.8"/>
    <m/>
    <m/>
    <n v="0"/>
    <n v="11.25"/>
    <n v="155.27777777777777"/>
    <m/>
    <m/>
    <n v="0"/>
    <n v="0"/>
    <n v="0"/>
    <n v="0"/>
    <n v="0"/>
    <n v="140.41666666666666"/>
    <n v="176.11111111111111"/>
    <n v="0"/>
    <n v="0"/>
    <n v="3478"/>
    <n v="483.05555555555554"/>
    <s v="2-304 codes stockpiled 50 minutes"/>
  </r>
  <r>
    <d v="2024-05-04T00:00:00"/>
    <x v="0"/>
    <x v="4"/>
    <m/>
    <n v="145"/>
    <n v="1740"/>
    <s v="3/8"/>
    <n v="57"/>
    <n v="57"/>
    <n v="853"/>
    <m/>
    <n v="853"/>
    <m/>
    <n v="0"/>
    <m/>
    <n v="595"/>
    <n v="0"/>
    <n v="780"/>
    <n v="0"/>
    <n v="0"/>
    <s v="1.75-7"/>
    <m/>
    <n v="8"/>
    <n v="3.4"/>
    <n v="7.0833333333333331E-2"/>
    <n v="0.42499999999999999"/>
    <m/>
    <m/>
    <n v="0"/>
    <n v="16.764705882352942"/>
    <n v="250.88235294117646"/>
    <m/>
    <m/>
    <n v="0"/>
    <n v="0"/>
    <n v="0"/>
    <n v="0"/>
    <n v="0"/>
    <n v="229.41176470588235"/>
    <n v="175"/>
    <n v="0"/>
    <n v="0"/>
    <n v="2285"/>
    <n v="672.05882352941171"/>
    <s v="3-304 codes 49.6 Hertz 3.25 minutes nstokpileing"/>
  </r>
  <r>
    <d v="2024-05-07T00:00:00"/>
    <x v="0"/>
    <x v="4"/>
    <m/>
    <n v="152"/>
    <n v="1824"/>
    <s v="3/8"/>
    <n v="0"/>
    <n v="57"/>
    <n v="1707"/>
    <m/>
    <n v="1707"/>
    <m/>
    <n v="0"/>
    <m/>
    <n v="1320"/>
    <n v="0"/>
    <n v="2758"/>
    <n v="0"/>
    <n v="0"/>
    <s v="2-7"/>
    <m/>
    <n v="12"/>
    <n v="8.8000000000000007"/>
    <n v="0.12222222222222223"/>
    <n v="0.73333333333333339"/>
    <m/>
    <m/>
    <n v="0"/>
    <n v="0"/>
    <n v="193.97727272727272"/>
    <m/>
    <m/>
    <n v="0"/>
    <n v="0"/>
    <n v="0"/>
    <n v="0"/>
    <n v="0"/>
    <n v="313.40909090909088"/>
    <n v="150"/>
    <n v="0"/>
    <n v="0"/>
    <n v="5785"/>
    <n v="657.38636363636363"/>
    <s v="9-292 codes stockpiled "/>
  </r>
  <r>
    <d v="2024-05-09T00:00:00"/>
    <x v="0"/>
    <x v="4"/>
    <m/>
    <n v="161"/>
    <n v="1932"/>
    <s v="3/8"/>
    <n v="80"/>
    <n v="57"/>
    <n v="1061"/>
    <m/>
    <n v="1061"/>
    <m/>
    <n v="0"/>
    <m/>
    <n v="1032"/>
    <n v="0"/>
    <n v="984"/>
    <n v="0"/>
    <n v="0"/>
    <s v="1.75-7"/>
    <m/>
    <n v="9"/>
    <n v="5.9"/>
    <n v="0.10925925925925926"/>
    <n v="0.65555555555555556"/>
    <m/>
    <m/>
    <n v="0"/>
    <n v="13.559322033898304"/>
    <n v="179.83050847457625"/>
    <m/>
    <m/>
    <n v="0"/>
    <n v="0"/>
    <n v="0"/>
    <n v="0"/>
    <n v="0"/>
    <n v="166.77966101694915"/>
    <n v="174.91525423728814"/>
    <n v="0"/>
    <n v="0"/>
    <n v="3157"/>
    <n v="535.0847457627118"/>
    <s v="15- 304 codes for 73 minute stockpile 63 minutes"/>
  </r>
  <r>
    <d v="2024-05-10T00:00:00"/>
    <x v="0"/>
    <x v="4"/>
    <m/>
    <n v="168"/>
    <n v="2016"/>
    <s v="3/8"/>
    <n v="63"/>
    <n v="57"/>
    <n v="1059"/>
    <m/>
    <n v="1059"/>
    <m/>
    <n v="0"/>
    <m/>
    <n v="1280"/>
    <n v="0"/>
    <n v="1015"/>
    <n v="0"/>
    <n v="0"/>
    <s v="1.75"/>
    <m/>
    <n v="9"/>
    <n v="7.3"/>
    <n v="0.13518518518518519"/>
    <n v="0.81111111111111112"/>
    <m/>
    <m/>
    <n v="0"/>
    <n v="8.6301369863013697"/>
    <n v="145.06849315068493"/>
    <m/>
    <m/>
    <n v="0"/>
    <n v="0"/>
    <n v="0"/>
    <n v="0"/>
    <n v="0"/>
    <n v="139.04109589041096"/>
    <n v="175.34246575342465"/>
    <n v="0"/>
    <n v="0"/>
    <n v="3417"/>
    <n v="468.08219178082192"/>
    <s v="MGL stacker cooling v belt broke 6 304 Codes"/>
  </r>
  <r>
    <d v="2024-05-11T00:00:00"/>
    <x v="0"/>
    <x v="4"/>
    <m/>
    <n v="153"/>
    <n v="1836"/>
    <s v="3/8"/>
    <n v="65"/>
    <n v="57"/>
    <n v="985"/>
    <m/>
    <n v="985"/>
    <m/>
    <n v="0"/>
    <m/>
    <n v="1190"/>
    <n v="0"/>
    <n v="1000"/>
    <n v="0"/>
    <n v="0"/>
    <s v="1.75-7"/>
    <m/>
    <n v="9"/>
    <n v="6.8"/>
    <n v="0.12592592592592591"/>
    <n v="0.75555555555555554"/>
    <m/>
    <m/>
    <n v="0"/>
    <n v="9.5588235294117645"/>
    <n v="144.85294117647058"/>
    <m/>
    <m/>
    <n v="0"/>
    <n v="0"/>
    <n v="0"/>
    <n v="0"/>
    <n v="0"/>
    <n v="147.05882352941177"/>
    <n v="175"/>
    <n v="0"/>
    <n v="0"/>
    <n v="3240"/>
    <n v="476.47058823529409"/>
    <s v="Guard fell off grizzly, big rock , 3 - 304 codes."/>
  </r>
  <r>
    <d v="2024-05-13T00:00:00"/>
    <x v="0"/>
    <x v="4"/>
    <m/>
    <n v="146"/>
    <n v="1752"/>
    <s v="3/8"/>
    <n v="33"/>
    <n v="57"/>
    <n v="974"/>
    <m/>
    <n v="974"/>
    <m/>
    <n v="0"/>
    <m/>
    <n v="1260"/>
    <n v="0"/>
    <n v="1009"/>
    <n v="0"/>
    <n v="0"/>
    <s v="1.75-7"/>
    <m/>
    <n v="9"/>
    <n v="7.2"/>
    <n v="0.13333333333333333"/>
    <n v="0.8"/>
    <m/>
    <m/>
    <n v="0"/>
    <n v="4.583333333333333"/>
    <n v="135.27777777777777"/>
    <m/>
    <m/>
    <n v="0"/>
    <n v="0"/>
    <n v="0"/>
    <n v="0"/>
    <n v="0"/>
    <n v="140.13888888888889"/>
    <n v="175"/>
    <n v="0"/>
    <n v="0"/>
    <n v="3276"/>
    <n v="455"/>
    <s v="8-304 codes screen binded over"/>
  </r>
  <r>
    <d v="2024-05-14T00:00:00"/>
    <x v="0"/>
    <x v="4"/>
    <m/>
    <n v="133"/>
    <n v="1596"/>
    <s v="3/8"/>
    <n v="0"/>
    <n v="57"/>
    <n v="1458"/>
    <m/>
    <n v="1188"/>
    <m/>
    <n v="270"/>
    <m/>
    <n v="1095"/>
    <n v="0"/>
    <n v="784"/>
    <n v="0"/>
    <n v="0"/>
    <s v="1.75-7"/>
    <m/>
    <n v="9"/>
    <n v="7.3"/>
    <n v="0.13518518518518519"/>
    <n v="0.81111111111111112"/>
    <m/>
    <m/>
    <n v="0"/>
    <n v="0"/>
    <n v="199.72602739726028"/>
    <m/>
    <n v="36.986301369863014"/>
    <n v="0"/>
    <n v="0"/>
    <n v="0.16917293233082706"/>
    <n v="0"/>
    <n v="0.16917293233082706"/>
    <n v="107.39726027397261"/>
    <n v="150"/>
    <n v="0"/>
    <n v="0"/>
    <n v="3337"/>
    <n v="457.1232876712329"/>
    <s v="6-304 codes 59 minutes sttockpileing"/>
  </r>
  <r>
    <d v="2024-05-15T00:00:00"/>
    <x v="0"/>
    <x v="4"/>
    <m/>
    <n v="218"/>
    <n v="2616"/>
    <s v="3/8"/>
    <n v="84"/>
    <n v="57"/>
    <n v="2772"/>
    <m/>
    <n v="1327"/>
    <m/>
    <n v="1445"/>
    <m/>
    <n v="1400"/>
    <n v="0"/>
    <n v="0"/>
    <n v="0"/>
    <n v="0"/>
    <s v="1.75-6.5"/>
    <m/>
    <n v="13"/>
    <n v="9.15"/>
    <n v="0.11730769230769231"/>
    <n v="0.7038461538461539"/>
    <m/>
    <m/>
    <n v="0"/>
    <n v="9.1803278688524586"/>
    <n v="302.95081967213116"/>
    <m/>
    <n v="157.92349726775956"/>
    <n v="0"/>
    <n v="0"/>
    <n v="0.55237003058103973"/>
    <n v="0"/>
    <n v="0.55237003058103973"/>
    <n v="0"/>
    <n v="153.00546448087431"/>
    <n v="0"/>
    <n v="0"/>
    <n v="4256"/>
    <n v="465.1366120218579"/>
    <s v="3- 304 codes"/>
  </r>
  <r>
    <d v="2024-05-16T00:00:00"/>
    <x v="0"/>
    <x v="4"/>
    <m/>
    <n v="133"/>
    <n v="1596"/>
    <s v="3/8"/>
    <n v="50"/>
    <n v="57"/>
    <n v="1113"/>
    <m/>
    <n v="811"/>
    <m/>
    <n v="302"/>
    <m/>
    <n v="729"/>
    <n v="0"/>
    <n v="0"/>
    <n v="0"/>
    <n v="0"/>
    <s v="1.75-6.5"/>
    <m/>
    <n v="6"/>
    <n v="4.8"/>
    <n v="0.13333333333333333"/>
    <n v="0.79999999999999993"/>
    <m/>
    <m/>
    <n v="0"/>
    <n v="10.416666666666668"/>
    <n v="231.875"/>
    <m/>
    <n v="62.916666666666671"/>
    <n v="0"/>
    <n v="0"/>
    <n v="0.18922305764411027"/>
    <n v="0"/>
    <n v="0.18922305764411027"/>
    <n v="0"/>
    <n v="151.875"/>
    <n v="0"/>
    <n v="0"/>
    <n v="1892"/>
    <n v="394.16666666666669"/>
    <s v="5- 304 codes 50 hz "/>
  </r>
  <r>
    <d v="2024-05-17T00:00:00"/>
    <x v="0"/>
    <x v="4"/>
    <m/>
    <n v="207"/>
    <n v="2484"/>
    <s v="3/8"/>
    <n v="65"/>
    <n v="57"/>
    <n v="1693"/>
    <m/>
    <n v="1210"/>
    <m/>
    <n v="483"/>
    <m/>
    <n v="600"/>
    <n v="0"/>
    <n v="0"/>
    <n v="0"/>
    <n v="0"/>
    <s v="2-7"/>
    <m/>
    <n v="9"/>
    <n v="4"/>
    <n v="7.407407407407407E-2"/>
    <n v="0.44444444444444442"/>
    <m/>
    <m/>
    <n v="0"/>
    <n v="16.25"/>
    <n v="423.25"/>
    <m/>
    <n v="120.75"/>
    <n v="0"/>
    <n v="0"/>
    <n v="0.19444444444444445"/>
    <n v="0"/>
    <n v="0.19444444444444445"/>
    <n v="0"/>
    <n v="150"/>
    <n v="0"/>
    <n v="0"/>
    <n v="2358"/>
    <n v="589.5"/>
    <m/>
  </r>
  <r>
    <d v="2024-05-18T00:00:00"/>
    <x v="0"/>
    <x v="4"/>
    <m/>
    <n v="299"/>
    <n v="3588"/>
    <s v="3/8"/>
    <n v="47"/>
    <n v="57"/>
    <n v="2326"/>
    <m/>
    <n v="1681"/>
    <m/>
    <n v="645"/>
    <m/>
    <n v="930"/>
    <n v="60"/>
    <n v="0"/>
    <n v="0"/>
    <n v="0"/>
    <s v="2-7"/>
    <m/>
    <n v="9"/>
    <n v="6"/>
    <n v="0.1111111111111111"/>
    <n v="0.66666666666666663"/>
    <m/>
    <m/>
    <n v="10"/>
    <n v="7.833333333333333"/>
    <n v="387.66666666666669"/>
    <m/>
    <n v="107.5"/>
    <n v="0"/>
    <n v="0"/>
    <n v="0.17976588628762541"/>
    <n v="0"/>
    <n v="0.17976588628762541"/>
    <n v="0"/>
    <n v="155"/>
    <n v="0"/>
    <n v="0"/>
    <n v="3363"/>
    <n v="560.50000000000011"/>
    <s v="41 minutes change screen, 66 minutes stockpile"/>
  </r>
  <r>
    <d v="2024-05-20T00:00:00"/>
    <x v="0"/>
    <x v="4"/>
    <m/>
    <n v="132"/>
    <n v="1584"/>
    <s v="3/8"/>
    <n v="30"/>
    <n v="57"/>
    <n v="1138"/>
    <m/>
    <n v="835"/>
    <m/>
    <n v="303"/>
    <m/>
    <n v="525"/>
    <n v="20"/>
    <n v="0"/>
    <n v="0"/>
    <n v="0"/>
    <s v="2-7"/>
    <m/>
    <n v="9"/>
    <n v="3.5"/>
    <n v="6.4814814814814811E-2"/>
    <n v="0.3888888888888889"/>
    <m/>
    <m/>
    <n v="5.7142857142857144"/>
    <n v="8.5714285714285712"/>
    <n v="325.14285714285717"/>
    <m/>
    <n v="86.571428571428569"/>
    <n v="0"/>
    <n v="0"/>
    <n v="0.19128787878787878"/>
    <n v="0"/>
    <n v="0.19128787878787878"/>
    <n v="0"/>
    <n v="150"/>
    <n v="0"/>
    <n v="0"/>
    <n v="1713"/>
    <n v="489.42857142857144"/>
    <s v="Replaced bearing on return stacker 5.5 hours"/>
  </r>
  <r>
    <d v="2024-05-21T00:00:00"/>
    <x v="0"/>
    <x v="4"/>
    <m/>
    <n v="329"/>
    <n v="3948"/>
    <s v="3/8"/>
    <n v="0"/>
    <n v="57"/>
    <n v="2598"/>
    <m/>
    <n v="1877"/>
    <m/>
    <n v="721"/>
    <m/>
    <n v="1125"/>
    <n v="80"/>
    <n v="0"/>
    <n v="0"/>
    <n v="0"/>
    <s v="2-7"/>
    <m/>
    <n v="10"/>
    <n v="7.5"/>
    <n v="0.125"/>
    <n v="0.75"/>
    <m/>
    <m/>
    <n v="10.666666666666666"/>
    <n v="0"/>
    <n v="346.4"/>
    <m/>
    <n v="96.13333333333334"/>
    <n v="0"/>
    <n v="0"/>
    <n v="0.18262411347517732"/>
    <n v="0"/>
    <n v="0.18262411347517732"/>
    <n v="0"/>
    <n v="150"/>
    <n v="0"/>
    <n v="0"/>
    <n v="3803"/>
    <n v="507.06666666666666"/>
    <s v="117 minutes in stockpiling material                               "/>
  </r>
  <r>
    <d v="2024-05-22T00:00:00"/>
    <x v="0"/>
    <x v="4"/>
    <m/>
    <n v="364"/>
    <n v="4368"/>
    <s v="3/8"/>
    <n v="0"/>
    <n v="57"/>
    <n v="2456"/>
    <m/>
    <n v="2099"/>
    <m/>
    <n v="357"/>
    <m/>
    <n v="1260"/>
    <n v="80"/>
    <n v="3171"/>
    <n v="0"/>
    <n v="0"/>
    <s v="2-7"/>
    <m/>
    <n v="11"/>
    <n v="8.4"/>
    <n v="0.12727272727272729"/>
    <n v="0.76363636363636367"/>
    <m/>
    <m/>
    <n v="9.5238095238095237"/>
    <n v="0"/>
    <n v="292.38095238095235"/>
    <m/>
    <n v="42.5"/>
    <n v="0"/>
    <n v="0"/>
    <n v="8.1730769230769232E-2"/>
    <n v="0"/>
    <n v="8.1730769230769232E-2"/>
    <n v="377.5"/>
    <n v="150"/>
    <n v="0"/>
    <n v="0"/>
    <n v="6967"/>
    <n v="829.40476190476181"/>
    <s v="Seared superior screen over swithed to Crusher run, stockpile 2.2 hours"/>
  </r>
  <r>
    <d v="2024-05-23T00:00:00"/>
    <x v="0"/>
    <x v="4"/>
    <m/>
    <n v="343"/>
    <n v="4116"/>
    <s v="3/8"/>
    <n v="0"/>
    <n v="57"/>
    <n v="2016"/>
    <m/>
    <n v="2016"/>
    <m/>
    <n v="0"/>
    <m/>
    <n v="1065"/>
    <n v="70"/>
    <n v="1754"/>
    <n v="0"/>
    <n v="0"/>
    <s v="2-7"/>
    <m/>
    <n v="11"/>
    <n v="7.1"/>
    <n v="0.10757575757575757"/>
    <n v="0.64545454545454539"/>
    <m/>
    <m/>
    <n v="9.8591549295774659"/>
    <n v="0"/>
    <n v="283.94366197183098"/>
    <m/>
    <m/>
    <n v="0"/>
    <n v="0"/>
    <n v="0"/>
    <n v="0"/>
    <n v="0"/>
    <n v="247.04225352112678"/>
    <n v="150"/>
    <n v="0"/>
    <n v="0"/>
    <n v="4905"/>
    <n v="690.84507042253517"/>
    <s v="Big rock in feeder 33 minutes stock pile 140 minutes"/>
  </r>
  <r>
    <d v="2024-05-24T00:00:00"/>
    <x v="0"/>
    <x v="4"/>
    <m/>
    <n v="94"/>
    <n v="1128"/>
    <s v="3/8"/>
    <n v="0"/>
    <n v="57"/>
    <n v="918"/>
    <m/>
    <n v="918"/>
    <m/>
    <n v="0"/>
    <m/>
    <n v="450"/>
    <n v="30"/>
    <n v="814"/>
    <n v="0"/>
    <n v="0"/>
    <s v="2-7"/>
    <m/>
    <n v="5"/>
    <n v="3"/>
    <n v="0.1"/>
    <n v="0.6"/>
    <m/>
    <m/>
    <n v="10"/>
    <n v="0"/>
    <n v="306"/>
    <m/>
    <m/>
    <n v="0"/>
    <n v="0"/>
    <n v="0"/>
    <n v="0"/>
    <n v="0"/>
    <n v="271.33333333333331"/>
    <n v="150"/>
    <n v="0"/>
    <n v="0"/>
    <n v="2212"/>
    <n v="737.33333333333326"/>
    <s v=" belt cut samples 8 minutes ran out of shot rock. Blasting today"/>
  </r>
  <r>
    <d v="2024-05-28T00:00:00"/>
    <x v="0"/>
    <x v="4"/>
    <m/>
    <n v="22"/>
    <n v="264"/>
    <s v="3/8"/>
    <n v="0"/>
    <n v="57"/>
    <n v="189"/>
    <m/>
    <n v="135"/>
    <m/>
    <n v="54"/>
    <m/>
    <n v="75"/>
    <n v="5"/>
    <n v="0"/>
    <n v="0"/>
    <n v="0"/>
    <s v="2-7"/>
    <m/>
    <n v="0.5"/>
    <n v="0.5"/>
    <n v="0.16666666666666666"/>
    <n v="1"/>
    <m/>
    <m/>
    <n v="10"/>
    <n v="0"/>
    <n v="378"/>
    <m/>
    <n v="108"/>
    <n v="0"/>
    <n v="0"/>
    <n v="0.20454545454545456"/>
    <n v="0"/>
    <n v="0.20454545454545456"/>
    <n v="0"/>
    <n v="150"/>
    <n v="0"/>
    <n v="0"/>
    <n v="269"/>
    <n v="538"/>
    <s v="Fired up at 2pm kirby showed to repair guard on pre-screener took 4 hours"/>
  </r>
  <r>
    <d v="2024-05-29T00:00:00"/>
    <x v="0"/>
    <x v="4"/>
    <m/>
    <n v="384"/>
    <n v="4608"/>
    <s v="3/8"/>
    <n v="0"/>
    <n v="57"/>
    <n v="3029"/>
    <m/>
    <n v="2106"/>
    <m/>
    <n v="923"/>
    <m/>
    <n v="1245"/>
    <n v="80"/>
    <n v="0"/>
    <n v="0"/>
    <n v="0"/>
    <s v="2-7"/>
    <m/>
    <n v="12"/>
    <n v="8.3000000000000007"/>
    <n v="0.11527777777777778"/>
    <n v="0.69166666666666676"/>
    <m/>
    <m/>
    <n v="9.6385542168674689"/>
    <n v="0"/>
    <n v="364.93975903614455"/>
    <m/>
    <n v="111.20481927710843"/>
    <n v="0"/>
    <n v="0"/>
    <n v="0.20030381944444445"/>
    <n v="0"/>
    <n v="0.20030381944444445"/>
    <n v="0"/>
    <n v="150"/>
    <n v="0"/>
    <n v="0"/>
    <n v="4354"/>
    <n v="524.57831325301197"/>
    <s v=" 292 tripped CR belt  switch fault on kleemen 61 minutes stockpile 76 minutes"/>
  </r>
  <r>
    <d v="2024-05-30T00:00:00"/>
    <x v="0"/>
    <x v="4"/>
    <m/>
    <n v="303"/>
    <n v="3636"/>
    <s v="3/8"/>
    <n v="0"/>
    <n v="57"/>
    <n v="1458"/>
    <m/>
    <n v="674"/>
    <m/>
    <n v="784"/>
    <m/>
    <n v="900"/>
    <n v="60"/>
    <n v="0"/>
    <n v="0"/>
    <n v="0"/>
    <s v="2-7"/>
    <m/>
    <n v="10"/>
    <n v="6.6"/>
    <n v="0.11"/>
    <n v="0.65999999999999992"/>
    <m/>
    <m/>
    <n v="9.0909090909090917"/>
    <n v="0"/>
    <n v="220.90909090909093"/>
    <m/>
    <n v="118.7878787878788"/>
    <n v="0"/>
    <n v="0"/>
    <n v="0.21562156215621561"/>
    <n v="0"/>
    <n v="0.21562156215621561"/>
    <n v="0"/>
    <n v="136.36363636363637"/>
    <n v="0"/>
    <n v="0"/>
    <n v="2418"/>
    <n v="366.36363636363637"/>
    <s v="292 code on prescreener 3 times 14 minutes move over size in product screen came lose. 52 htz"/>
  </r>
  <r>
    <d v="2024-05-31T00:00:00"/>
    <x v="0"/>
    <x v="4"/>
    <m/>
    <n v="332"/>
    <n v="3984"/>
    <s v="3/8"/>
    <n v="0"/>
    <n v="57"/>
    <n v="2617"/>
    <m/>
    <n v="1756"/>
    <m/>
    <n v="861"/>
    <m/>
    <n v="1000"/>
    <n v="0"/>
    <n v="0"/>
    <n v="0"/>
    <n v="0"/>
    <s v="2-7"/>
    <m/>
    <n v="9"/>
    <n v="6.7"/>
    <n v="0.12407407407407407"/>
    <n v="0.74444444444444446"/>
    <m/>
    <m/>
    <n v="0"/>
    <n v="0"/>
    <n v="390.59701492537312"/>
    <m/>
    <n v="128.50746268656715"/>
    <n v="0"/>
    <n v="0"/>
    <n v="0.2161144578313253"/>
    <n v="0"/>
    <n v="0.2161144578313253"/>
    <n v="0"/>
    <n v="149.25373134328359"/>
    <n v="0"/>
    <n v="0"/>
    <n v="3617"/>
    <n v="539.85074626865674"/>
    <s v="Stokpile 107 minutes 2- 292 codes"/>
  </r>
  <r>
    <d v="2024-06-01T00:00:00"/>
    <x v="0"/>
    <x v="5"/>
    <m/>
    <n v="190"/>
    <n v="2280"/>
    <s v="3/8"/>
    <n v="0"/>
    <n v="57"/>
    <n v="1443"/>
    <m/>
    <n v="983"/>
    <m/>
    <n v="460"/>
    <m/>
    <n v="660"/>
    <n v="0"/>
    <n v="0"/>
    <n v="0"/>
    <n v="0"/>
    <s v="2-7"/>
    <m/>
    <n v="6"/>
    <n v="4.4000000000000004"/>
    <n v="0.12222222222222223"/>
    <n v="0.73333333333333339"/>
    <m/>
    <m/>
    <n v="0"/>
    <n v="0"/>
    <n v="327.95454545454544"/>
    <m/>
    <n v="104.54545454545453"/>
    <n v="0"/>
    <n v="0"/>
    <n v="0.20175438596491227"/>
    <n v="0"/>
    <n v="0.20175438596491227"/>
    <n v="0"/>
    <n v="150"/>
    <n v="0"/>
    <n v="0"/>
    <n v="2103"/>
    <n v="477.95454545454544"/>
    <s v="Respliced MDL stacker 4 hours and cleaned up"/>
  </r>
  <r>
    <d v="2024-06-03T00:00:00"/>
    <x v="0"/>
    <x v="5"/>
    <m/>
    <n v="121"/>
    <n v="1452"/>
    <s v="3/8"/>
    <n v="0"/>
    <n v="57"/>
    <n v="965"/>
    <m/>
    <n v="833"/>
    <m/>
    <n v="132"/>
    <m/>
    <n v="615"/>
    <n v="0"/>
    <n v="0"/>
    <n v="0"/>
    <n v="0"/>
    <s v="2-7"/>
    <m/>
    <n v="6"/>
    <n v="4.0999999999999996"/>
    <n v="0.11388888888888887"/>
    <n v="0.68333333333333324"/>
    <m/>
    <m/>
    <n v="0"/>
    <n v="0"/>
    <n v="235.36585365853659"/>
    <m/>
    <n v="32.195121951219512"/>
    <n v="0"/>
    <n v="0"/>
    <n v="9.0909090909090912E-2"/>
    <n v="0"/>
    <n v="9.0909090909090912E-2"/>
    <n v="0"/>
    <n v="150"/>
    <n v="0"/>
    <n v="0"/>
    <n v="1580"/>
    <n v="385.36585365853659"/>
    <s v="57 scales messed up? 1 - 304 code Change screens on pre-screener 4 hours"/>
  </r>
  <r>
    <d v="2024-06-04T00:00:00"/>
    <x v="0"/>
    <x v="5"/>
    <m/>
    <n v="331"/>
    <n v="3972"/>
    <s v="3/8"/>
    <n v="0"/>
    <n v="57"/>
    <n v="2040"/>
    <m/>
    <n v="2040"/>
    <m/>
    <n v="0"/>
    <m/>
    <n v="1530"/>
    <n v="0"/>
    <n v="2886"/>
    <n v="0"/>
    <n v="0"/>
    <s v="2-7"/>
    <m/>
    <n v="12"/>
    <n v="10.199999999999999"/>
    <n v="0.14166666666666666"/>
    <n v="0.85"/>
    <m/>
    <m/>
    <n v="0"/>
    <n v="0"/>
    <n v="200"/>
    <m/>
    <m/>
    <n v="0"/>
    <n v="0"/>
    <n v="0"/>
    <n v="0"/>
    <n v="0"/>
    <n v="282.94117647058823"/>
    <n v="150"/>
    <n v="0"/>
    <n v="0"/>
    <n v="6456"/>
    <n v="632.94117647058829"/>
    <s v="Cr. Belt on Kleeman stopped dug off 62 minutes Stockpile 40 minutes"/>
  </r>
  <r>
    <d v="2024-06-05T00:00:00"/>
    <x v="0"/>
    <x v="5"/>
    <m/>
    <n v="317"/>
    <n v="3804"/>
    <s v="3/8"/>
    <n v="0"/>
    <n v="57"/>
    <n v="1874"/>
    <m/>
    <n v="1874"/>
    <m/>
    <n v="0"/>
    <m/>
    <n v="1155"/>
    <n v="0"/>
    <n v="2827"/>
    <n v="0"/>
    <n v="0"/>
    <s v="2-7"/>
    <m/>
    <n v="12"/>
    <n v="7.7"/>
    <n v="0.10694444444444445"/>
    <n v="0.64166666666666672"/>
    <m/>
    <m/>
    <n v="0"/>
    <n v="0"/>
    <n v="243.37662337662337"/>
    <m/>
    <m/>
    <n v="0"/>
    <n v="0"/>
    <n v="0"/>
    <n v="0"/>
    <n v="0"/>
    <n v="367.14285714285711"/>
    <n v="150"/>
    <n v="0"/>
    <n v="0"/>
    <n v="5856"/>
    <n v="760.51948051948045"/>
    <s v="Stokpiling 62 minutes"/>
  </r>
  <r>
    <d v="2024-06-06T00:00:00"/>
    <x v="0"/>
    <x v="5"/>
    <m/>
    <n v="172"/>
    <n v="2064"/>
    <s v="3/8"/>
    <n v="0"/>
    <n v="57"/>
    <n v="973"/>
    <m/>
    <n v="973"/>
    <m/>
    <n v="0"/>
    <m/>
    <n v="615"/>
    <n v="0"/>
    <n v="1499"/>
    <n v="0"/>
    <n v="0"/>
    <s v="2-7"/>
    <m/>
    <n v="6"/>
    <n v="4.0999999999999996"/>
    <n v="0.11388888888888887"/>
    <n v="0.68333333333333324"/>
    <m/>
    <m/>
    <n v="0"/>
    <n v="0"/>
    <n v="237.31707317073173"/>
    <m/>
    <m/>
    <n v="0"/>
    <n v="0"/>
    <n v="0"/>
    <n v="0"/>
    <n v="0"/>
    <n v="365.60975609756099"/>
    <n v="150"/>
    <n v="0"/>
    <n v="0"/>
    <n v="3087"/>
    <n v="752.92682926829275"/>
    <s v="Scheduled spring replacement on pre- screener adjust underbelt on terex screen 60 minutes     52 htz"/>
  </r>
  <r>
    <d v="2024-06-10T00:00:00"/>
    <x v="0"/>
    <x v="5"/>
    <m/>
    <n v="344"/>
    <n v="4128"/>
    <s v="3/8"/>
    <n v="0"/>
    <n v="57"/>
    <n v="1949"/>
    <m/>
    <n v="1949"/>
    <m/>
    <n v="0"/>
    <m/>
    <n v="1260"/>
    <n v="0"/>
    <n v="2822"/>
    <n v="0"/>
    <n v="0"/>
    <s v="2-7"/>
    <m/>
    <n v="12"/>
    <n v="8.4"/>
    <n v="0.11666666666666667"/>
    <n v="0.70000000000000007"/>
    <m/>
    <m/>
    <n v="0"/>
    <n v="0"/>
    <n v="232.02380952380952"/>
    <m/>
    <m/>
    <n v="0"/>
    <n v="0"/>
    <n v="0"/>
    <n v="0"/>
    <n v="0"/>
    <n v="335.95238095238096"/>
    <n v="150"/>
    <n v="0"/>
    <n v="0"/>
    <n v="6031"/>
    <n v="717.97619047619048"/>
    <s v="First half day materail went to shipping second half had clay in it went back to rinse pile   52 htz 2 292 codes"/>
  </r>
  <r>
    <d v="2024-06-11T00:00:00"/>
    <x v="0"/>
    <x v="5"/>
    <m/>
    <n v="367"/>
    <n v="4404"/>
    <s v="3/8"/>
    <n v="0"/>
    <n v="57"/>
    <n v="1910"/>
    <m/>
    <n v="1910"/>
    <m/>
    <n v="0"/>
    <m/>
    <n v="1230"/>
    <n v="0"/>
    <n v="2863"/>
    <n v="0"/>
    <n v="0"/>
    <s v="2-7"/>
    <m/>
    <n v="12"/>
    <n v="8.1999999999999993"/>
    <n v="0.11388888888888887"/>
    <n v="0.68333333333333324"/>
    <m/>
    <m/>
    <n v="0"/>
    <n v="0"/>
    <n v="232.92682926829269"/>
    <m/>
    <m/>
    <n v="0"/>
    <n v="0"/>
    <n v="0"/>
    <n v="0"/>
    <n v="0"/>
    <n v="349.14634146341467"/>
    <n v="150"/>
    <n v="0"/>
    <n v="0"/>
    <n v="6003"/>
    <n v="732.07317073170736"/>
    <s v="stockpile 45 minutes 4 292 codes"/>
  </r>
  <r>
    <d v="2024-06-12T00:00:00"/>
    <x v="0"/>
    <x v="5"/>
    <m/>
    <n v="284"/>
    <n v="3408"/>
    <s v="3/8"/>
    <n v="0"/>
    <n v="57"/>
    <n v="1478"/>
    <m/>
    <n v="1478"/>
    <m/>
    <n v="0"/>
    <m/>
    <n v="1000"/>
    <n v="0"/>
    <n v="2252"/>
    <n v="0"/>
    <n v="0"/>
    <s v="2-7"/>
    <m/>
    <n v="11"/>
    <n v="6.7"/>
    <n v="0.10151515151515152"/>
    <n v="0.60909090909090913"/>
    <m/>
    <m/>
    <n v="0"/>
    <n v="0"/>
    <n v="220.59701492537312"/>
    <m/>
    <m/>
    <n v="0"/>
    <n v="0"/>
    <n v="0"/>
    <n v="0"/>
    <n v="0"/>
    <n v="336.1194029850746"/>
    <n v="149.25373134328359"/>
    <n v="0"/>
    <n v="0"/>
    <n v="4730"/>
    <n v="705.97014925373128"/>
    <s v="Washers tsopped clean out 2 hours stocpile 40minutes 3-292 codes"/>
  </r>
  <r>
    <d v="2024-06-14T00:00:00"/>
    <x v="0"/>
    <x v="5"/>
    <m/>
    <n v="405"/>
    <n v="4860"/>
    <s v="3/8"/>
    <n v="0"/>
    <n v="57"/>
    <n v="3249"/>
    <m/>
    <n v="2081"/>
    <m/>
    <n v="1168"/>
    <m/>
    <n v="1350"/>
    <n v="90"/>
    <n v="0"/>
    <n v="0"/>
    <n v="0"/>
    <s v="2-7"/>
    <m/>
    <n v="12"/>
    <n v="9"/>
    <n v="0.125"/>
    <n v="0.75"/>
    <m/>
    <m/>
    <n v="10"/>
    <n v="0"/>
    <n v="361"/>
    <m/>
    <n v="129.77777777777777"/>
    <n v="0"/>
    <n v="0"/>
    <n v="0.2403292181069959"/>
    <n v="0"/>
    <n v="0.2403292181069959"/>
    <n v="0"/>
    <n v="150"/>
    <n v="0"/>
    <n v="0"/>
    <n v="4689"/>
    <n v="521"/>
    <s v="Stockpile 95 minutes 2 - 292 codes"/>
  </r>
  <r>
    <d v="2024-06-18T00:00:00"/>
    <x v="0"/>
    <x v="5"/>
    <m/>
    <n v="183"/>
    <n v="2196"/>
    <s v="3/8"/>
    <n v="0"/>
    <n v="57"/>
    <n v="1460"/>
    <m/>
    <n v="923"/>
    <m/>
    <n v="537"/>
    <m/>
    <n v="690"/>
    <n v="46"/>
    <n v="0"/>
    <n v="0"/>
    <n v="0"/>
    <s v="2-7"/>
    <m/>
    <n v="4.5999999999999996"/>
    <n v="4.5999999999999996"/>
    <n v="0.16666666666666666"/>
    <n v="1"/>
    <m/>
    <m/>
    <n v="10"/>
    <n v="0"/>
    <n v="317.39130434782612"/>
    <m/>
    <n v="116.73913043478262"/>
    <n v="0"/>
    <n v="0"/>
    <n v="0.24453551912568305"/>
    <n v="0"/>
    <n v="0.24453551912568305"/>
    <n v="0"/>
    <n v="150"/>
    <n v="0"/>
    <n v="0"/>
    <n v="2196"/>
    <n v="477.39130434782612"/>
    <s v="Did some maintance and cleaned out under Kleenmen                                                            52htz"/>
  </r>
  <r>
    <d v="2024-06-19T00:00:00"/>
    <x v="0"/>
    <x v="5"/>
    <m/>
    <n v="225"/>
    <n v="2700"/>
    <s v="3/8"/>
    <n v="0"/>
    <n v="57"/>
    <n v="1836"/>
    <m/>
    <n v="1298"/>
    <m/>
    <n v="538"/>
    <m/>
    <n v="630"/>
    <n v="42"/>
    <n v="0"/>
    <n v="0"/>
    <n v="0"/>
    <s v="2-7"/>
    <m/>
    <n v="9.6"/>
    <n v="4.2"/>
    <n v="7.2916666666666671E-2"/>
    <n v="0.43750000000000006"/>
    <m/>
    <m/>
    <n v="10"/>
    <n v="0"/>
    <n v="437.14285714285711"/>
    <m/>
    <n v="128.0952380952381"/>
    <n v="0"/>
    <n v="0"/>
    <n v="0.19925925925925925"/>
    <n v="0"/>
    <n v="0.19925925925925925"/>
    <n v="0"/>
    <n v="150"/>
    <n v="0"/>
    <n v="0"/>
    <n v="2508"/>
    <n v="597.14285714285711"/>
    <s v="Change bearing on the head of screenings stacker"/>
  </r>
  <r>
    <d v="2024-06-20T00:00:00"/>
    <x v="0"/>
    <x v="5"/>
    <m/>
    <n v="256"/>
    <n v="3072"/>
    <s v="3/8"/>
    <n v="0"/>
    <n v="57"/>
    <n v="2084"/>
    <m/>
    <n v="1403"/>
    <m/>
    <n v="681"/>
    <m/>
    <n v="693"/>
    <n v="63"/>
    <n v="0"/>
    <n v="0"/>
    <n v="0"/>
    <s v="2-7"/>
    <m/>
    <n v="9.6"/>
    <n v="6.3"/>
    <n v="0.77"/>
    <n v="0.65625"/>
    <m/>
    <m/>
    <n v="10"/>
    <n v="0"/>
    <n v="330.79365079365078"/>
    <m/>
    <n v="108.0952380952381"/>
    <n v="0"/>
    <n v="0"/>
    <n v="0.2216796875"/>
    <n v="0"/>
    <n v="0.2216796875"/>
    <n v="0"/>
    <n v="110"/>
    <n v="0"/>
    <n v="0"/>
    <n v="2840"/>
    <n v="450.79365079365078"/>
    <s v="Superior stacker shut down and bogged scews down"/>
  </r>
  <r>
    <d v="2024-06-21T00:00:00"/>
    <x v="0"/>
    <x v="5"/>
    <m/>
    <n v="369"/>
    <n v="4428"/>
    <s v="3/8"/>
    <n v="0"/>
    <n v="57"/>
    <n v="2961"/>
    <m/>
    <n v="1895"/>
    <m/>
    <n v="1066"/>
    <m/>
    <n v="1305"/>
    <n v="80"/>
    <n v="0"/>
    <n v="0"/>
    <n v="0"/>
    <s v="2-7"/>
    <m/>
    <n v="12"/>
    <n v="8.6999999999999993"/>
    <n v="0.12083333333333332"/>
    <n v="0.72499999999999998"/>
    <m/>
    <m/>
    <n v="9.1954022988505759"/>
    <n v="0"/>
    <n v="340.34482758620692"/>
    <m/>
    <n v="122.52873563218392"/>
    <n v="0"/>
    <n v="0"/>
    <n v="0.24074074074074073"/>
    <n v="0"/>
    <n v="0.24074074074074073"/>
    <n v="0"/>
    <n v="150"/>
    <n v="0"/>
    <n v="0"/>
    <n v="4346"/>
    <n v="499.5402298850575"/>
    <s v="Stockpile "/>
  </r>
  <r>
    <d v="2024-06-22T00:00:00"/>
    <x v="0"/>
    <x v="5"/>
    <m/>
    <n v="362"/>
    <n v="4344"/>
    <s v="3/8"/>
    <n v="0"/>
    <n v="57"/>
    <n v="2890"/>
    <m/>
    <n v="1880"/>
    <m/>
    <n v="1010"/>
    <m/>
    <n v="1350"/>
    <n v="90"/>
    <n v="0"/>
    <n v="0"/>
    <n v="0"/>
    <s v="2-7"/>
    <m/>
    <n v="9.75"/>
    <n v="9"/>
    <n v="0.15384615384615385"/>
    <n v="0.92307692307692313"/>
    <m/>
    <m/>
    <n v="10"/>
    <n v="0"/>
    <n v="321.11111111111109"/>
    <m/>
    <n v="112.22222222222223"/>
    <n v="0"/>
    <n v="0"/>
    <n v="0.23250460405156537"/>
    <n v="0"/>
    <n v="0.23250460405156537"/>
    <n v="0"/>
    <n v="150"/>
    <n v="0"/>
    <n v="0"/>
    <n v="4330"/>
    <n v="481.11111111111109"/>
    <s v="Stockpile"/>
  </r>
  <r>
    <d v="2024-06-24T00:00:00"/>
    <x v="0"/>
    <x v="5"/>
    <m/>
    <n v="236"/>
    <n v="2832"/>
    <s v="3/8"/>
    <n v="0"/>
    <n v="57"/>
    <n v="1835"/>
    <m/>
    <n v="1210"/>
    <m/>
    <n v="625"/>
    <m/>
    <n v="945"/>
    <n v="60"/>
    <n v="0"/>
    <n v="0"/>
    <n v="0"/>
    <s v="2.5-7"/>
    <m/>
    <n v="8"/>
    <n v="6.3"/>
    <n v="0.13125000000000001"/>
    <n v="0.78749999999999998"/>
    <m/>
    <m/>
    <n v="9.5238095238095237"/>
    <n v="0"/>
    <n v="291.26984126984127"/>
    <m/>
    <n v="99.206349206349202"/>
    <n v="0"/>
    <n v="0"/>
    <n v="0.22069209039548024"/>
    <n v="0"/>
    <n v="0.22069209039548024"/>
    <n v="0"/>
    <n v="150"/>
    <n v="0"/>
    <n v="0"/>
    <n v="2840"/>
    <n v="450.79365079365078"/>
    <s v="shut production down to load train started rinsing."/>
  </r>
  <r>
    <d v="2024-06-25T00:00:00"/>
    <x v="0"/>
    <x v="5"/>
    <m/>
    <n v="116"/>
    <n v="1392"/>
    <s v="3/8"/>
    <n v="0"/>
    <n v="57"/>
    <n v="903"/>
    <m/>
    <n v="578"/>
    <m/>
    <n v="325"/>
    <m/>
    <n v="345"/>
    <n v="20"/>
    <n v="0"/>
    <n v="0"/>
    <n v="0"/>
    <s v="2.5-8"/>
    <m/>
    <n v="3"/>
    <n v="2.2999999999999998"/>
    <n v="0.12777777777777777"/>
    <n v="0.76666666666666661"/>
    <m/>
    <m/>
    <n v="8.6956521739130448"/>
    <n v="0"/>
    <n v="392.60869565217394"/>
    <m/>
    <n v="141.30434782608697"/>
    <n v="0"/>
    <n v="0"/>
    <n v="0.23347701149425287"/>
    <n v="0"/>
    <n v="0.23347701149425287"/>
    <n v="0"/>
    <n v="150"/>
    <n v="0"/>
    <n v="0"/>
    <n v="1268"/>
    <n v="551.304347826087"/>
    <s v="Started the day rinsing while loading train and then ran plant "/>
  </r>
  <r>
    <d v="2024-06-26T00:00:00"/>
    <x v="0"/>
    <x v="5"/>
    <m/>
    <n v="228"/>
    <n v="2736"/>
    <s v="3/8"/>
    <n v="0"/>
    <n v="57"/>
    <n v="1796"/>
    <m/>
    <n v="1176"/>
    <m/>
    <n v="620"/>
    <m/>
    <n v="855"/>
    <n v="60"/>
    <n v="0"/>
    <n v="0"/>
    <n v="0"/>
    <s v="2.5-9"/>
    <m/>
    <n v="8"/>
    <n v="5.7"/>
    <n v="0.11875000000000001"/>
    <n v="0.71250000000000002"/>
    <m/>
    <m/>
    <n v="10.526315789473683"/>
    <n v="0"/>
    <n v="315.08771929824559"/>
    <m/>
    <n v="108.7719298245614"/>
    <n v="0"/>
    <n v="0"/>
    <n v="0.22660818713450293"/>
    <n v="0"/>
    <n v="0.22660818713450293"/>
    <n v="0"/>
    <n v="150"/>
    <n v="0"/>
    <n v="0"/>
    <n v="2711"/>
    <n v="475.61403508771929"/>
    <s v="Lost drive belts on one of the aggergate washers "/>
  </r>
  <r>
    <d v="2024-06-27T00:00:00"/>
    <x v="0"/>
    <x v="5"/>
    <m/>
    <n v="219"/>
    <n v="2628"/>
    <s v="3/8"/>
    <n v="0"/>
    <n v="57"/>
    <n v="2149"/>
    <m/>
    <n v="1566"/>
    <m/>
    <n v="583"/>
    <m/>
    <n v="840"/>
    <n v="60"/>
    <n v="0"/>
    <n v="0"/>
    <n v="0"/>
    <s v="2.5-10"/>
    <m/>
    <n v="8"/>
    <n v="5.6"/>
    <n v="0.11666666666666665"/>
    <n v="0.7"/>
    <m/>
    <m/>
    <n v="10.714285714285715"/>
    <n v="0"/>
    <n v="383.75"/>
    <m/>
    <n v="104.10714285714286"/>
    <n v="0"/>
    <n v="0"/>
    <n v="0.22184170471841705"/>
    <n v="0"/>
    <n v="0.22184170471841705"/>
    <n v="0"/>
    <n v="150"/>
    <n v="0"/>
    <n v="0"/>
    <n v="3049"/>
    <n v="544.46428571428567"/>
    <s v="adjustments"/>
  </r>
  <r>
    <d v="2024-06-29T00:00:00"/>
    <x v="0"/>
    <x v="5"/>
    <m/>
    <n v="375"/>
    <n v="4500"/>
    <s v="3/8"/>
    <n v="0"/>
    <n v="57"/>
    <n v="2703"/>
    <m/>
    <n v="1751"/>
    <m/>
    <n v="952"/>
    <m/>
    <n v="1320"/>
    <n v="88"/>
    <n v="0"/>
    <n v="0"/>
    <n v="0"/>
    <s v="2.5-11"/>
    <m/>
    <n v="10"/>
    <n v="8.8000000000000007"/>
    <n v="0.14666666666666667"/>
    <n v="0.88000000000000012"/>
    <m/>
    <m/>
    <n v="10"/>
    <n v="0"/>
    <n v="307.15909090909088"/>
    <m/>
    <n v="108.18181818181817"/>
    <n v="0"/>
    <n v="0"/>
    <n v="0.21155555555555555"/>
    <n v="0"/>
    <n v="0.21155555555555555"/>
    <n v="0"/>
    <n v="150"/>
    <n v="0"/>
    <n v="0"/>
    <n v="4111"/>
    <n v="467.15909090909088"/>
    <s v="big rock in crusher 60 minutes "/>
  </r>
  <r>
    <d v="2024-06-30T00:00:00"/>
    <x v="0"/>
    <x v="5"/>
    <m/>
    <n v="182"/>
    <n v="2184"/>
    <s v="3/8"/>
    <n v="0"/>
    <n v="57"/>
    <n v="1377"/>
    <m/>
    <n v="938"/>
    <m/>
    <n v="439"/>
    <m/>
    <n v="795"/>
    <n v="53"/>
    <n v="0"/>
    <n v="0"/>
    <n v="0"/>
    <s v="2.5-12"/>
    <m/>
    <n v="10"/>
    <n v="5.3"/>
    <n v="8.8333333333333333E-2"/>
    <n v="0.53"/>
    <m/>
    <m/>
    <n v="10"/>
    <n v="0"/>
    <n v="259.81132075471697"/>
    <m/>
    <n v="82.830188679245282"/>
    <n v="0"/>
    <n v="0"/>
    <n v="0.20100732600732601"/>
    <n v="0"/>
    <n v="0.20100732600732601"/>
    <n v="0"/>
    <n v="150"/>
    <n v="0"/>
    <n v="0"/>
    <n v="2225"/>
    <n v="419.81132075471697"/>
    <s v="2- 304 codes 10 minutes"/>
  </r>
  <r>
    <d v="2024-07-01T00:00:00"/>
    <x v="0"/>
    <x v="6"/>
    <m/>
    <n v="21"/>
    <n v="252"/>
    <s v="3/8"/>
    <n v="0"/>
    <n v="57"/>
    <n v="169"/>
    <m/>
    <n v="108"/>
    <m/>
    <n v="61"/>
    <m/>
    <n v="75"/>
    <n v="5"/>
    <n v="0"/>
    <n v="0"/>
    <n v="0"/>
    <s v="2-7"/>
    <m/>
    <n v="10"/>
    <n v="0.5"/>
    <n v="8.3333333333333332E-3"/>
    <n v="0.05"/>
    <m/>
    <m/>
    <n v="10"/>
    <n v="0"/>
    <n v="338"/>
    <m/>
    <n v="122"/>
    <n v="0"/>
    <n v="0"/>
    <n v="0.24206349206349206"/>
    <n v="0"/>
    <n v="0.24206349206349206"/>
    <n v="0"/>
    <n v="150"/>
    <n v="0"/>
    <n v="0"/>
    <n v="249"/>
    <n v="498"/>
    <s v="oil tube fell out of pre-screener down all day waiting on kirby"/>
  </r>
  <r>
    <d v="2024-07-03T00:00:00"/>
    <x v="0"/>
    <x v="6"/>
    <m/>
    <n v="331"/>
    <n v="3972"/>
    <s v="3/8"/>
    <n v="0"/>
    <n v="57"/>
    <n v="2647"/>
    <m/>
    <n v="1654"/>
    <m/>
    <n v="993"/>
    <m/>
    <n v="1095"/>
    <n v="80"/>
    <n v="0"/>
    <n v="0"/>
    <n v="0"/>
    <s v="2-7"/>
    <m/>
    <n v="12"/>
    <n v="7.9"/>
    <n v="0.10972222222222222"/>
    <n v="0.65833333333333333"/>
    <m/>
    <m/>
    <n v="10.126582278481012"/>
    <n v="0"/>
    <n v="335.0632911392405"/>
    <m/>
    <n v="125.69620253164557"/>
    <n v="0"/>
    <n v="0"/>
    <n v="0.25"/>
    <n v="0"/>
    <n v="0.25"/>
    <n v="0"/>
    <n v="138.60759493670886"/>
    <n v="0"/>
    <n v="0"/>
    <n v="3822"/>
    <n v="483.79746835443041"/>
    <s v="big rock 145 minues"/>
  </r>
  <r>
    <d v="2024-07-12T00:00:00"/>
    <x v="0"/>
    <x v="6"/>
    <m/>
    <n v="189"/>
    <n v="2268"/>
    <s v="3/8"/>
    <n v="0"/>
    <n v="57"/>
    <n v="1457"/>
    <m/>
    <n v="984"/>
    <m/>
    <n v="473"/>
    <m/>
    <n v="600"/>
    <n v="40"/>
    <n v="0"/>
    <n v="0"/>
    <n v="0"/>
    <s v="2-7"/>
    <m/>
    <n v="8"/>
    <n v="4.0999999999999996"/>
    <n v="8.5416666666666655E-2"/>
    <n v="0.51249999999999996"/>
    <m/>
    <m/>
    <n v="9.7560975609756113"/>
    <n v="0"/>
    <n v="355.36585365853659"/>
    <m/>
    <n v="115.36585365853659"/>
    <n v="0"/>
    <n v="0"/>
    <n v="0.20855379188712522"/>
    <n v="0"/>
    <n v="0.20855379188712522"/>
    <n v="0"/>
    <n v="146.34146341463415"/>
    <n v="0"/>
    <n v="0"/>
    <n v="2097"/>
    <n v="511.46341463414637"/>
    <s v="Stokpile 195 minutes"/>
  </r>
  <r>
    <d v="2024-07-15T00:00:00"/>
    <x v="0"/>
    <x v="6"/>
    <m/>
    <n v="281"/>
    <n v="3372"/>
    <s v="3/8"/>
    <n v="0"/>
    <n v="57"/>
    <n v="2247"/>
    <m/>
    <n v="1458"/>
    <m/>
    <n v="789"/>
    <m/>
    <n v="987"/>
    <n v="65"/>
    <n v="0"/>
    <n v="0"/>
    <n v="0"/>
    <s v="2-7"/>
    <m/>
    <n v="10"/>
    <n v="6.5"/>
    <n v="0.10833333333333334"/>
    <n v="0.65"/>
    <m/>
    <m/>
    <n v="10"/>
    <n v="0"/>
    <n v="345.69230769230768"/>
    <m/>
    <n v="121.38461538461539"/>
    <n v="0"/>
    <n v="0"/>
    <n v="0.23398576512455516"/>
    <n v="0"/>
    <n v="0.23398576512455516"/>
    <n v="0"/>
    <n v="151.84615384615384"/>
    <n v="0"/>
    <n v="0"/>
    <n v="3299"/>
    <n v="507.53846153846155"/>
    <s v="install pre-screener guard 145 minutes"/>
  </r>
  <r>
    <d v="2024-07-16T00:00:00"/>
    <x v="0"/>
    <x v="6"/>
    <m/>
    <n v="300"/>
    <n v="3600"/>
    <s v="3/8"/>
    <n v="0"/>
    <n v="57"/>
    <n v="2417"/>
    <m/>
    <n v="1537"/>
    <m/>
    <n v="880"/>
    <m/>
    <n v="990"/>
    <n v="66"/>
    <n v="0"/>
    <n v="0"/>
    <n v="0"/>
    <s v="2-7"/>
    <m/>
    <n v="10"/>
    <n v="6.6"/>
    <n v="0.11"/>
    <n v="0.65999999999999992"/>
    <m/>
    <m/>
    <n v="10"/>
    <n v="0"/>
    <n v="366.21212121212125"/>
    <m/>
    <n v="133.33333333333334"/>
    <n v="0"/>
    <n v="0"/>
    <n v="0.24444444444444444"/>
    <n v="0"/>
    <n v="0.24444444444444444"/>
    <n v="0"/>
    <n v="150"/>
    <n v="0"/>
    <n v="0"/>
    <n v="3473"/>
    <n v="526.21212121212125"/>
    <s v="282 code under pan feeder shut down and cleaned under Kleemen"/>
  </r>
  <r>
    <d v="2024-07-18T00:00:00"/>
    <x v="0"/>
    <x v="6"/>
    <m/>
    <n v="227"/>
    <n v="2724"/>
    <s v="3/8"/>
    <n v="0"/>
    <n v="57"/>
    <n v="3321"/>
    <m/>
    <n v="2166"/>
    <m/>
    <n v="1155"/>
    <m/>
    <n v="1500"/>
    <n v="100"/>
    <n v="0"/>
    <n v="0"/>
    <n v="0"/>
    <s v="2-7"/>
    <m/>
    <n v="12"/>
    <n v="10.5"/>
    <n v="0.14583333333333334"/>
    <n v="0.875"/>
    <m/>
    <m/>
    <n v="9.5238095238095237"/>
    <n v="0"/>
    <n v="316.28571428571428"/>
    <m/>
    <n v="110"/>
    <n v="0"/>
    <n v="0"/>
    <n v="0.42400881057268724"/>
    <n v="0"/>
    <n v="0.42400881057268724"/>
    <n v="0"/>
    <n v="142.85714285714286"/>
    <n v="0"/>
    <n v="0"/>
    <n v="4921"/>
    <n v="468.66666666666663"/>
    <s v="ran hopper slow kleemen"/>
  </r>
  <r>
    <d v="2024-07-19T00:00:00"/>
    <x v="0"/>
    <x v="6"/>
    <m/>
    <n v="340"/>
    <n v="4080"/>
    <s v="3/8"/>
    <n v="0"/>
    <n v="57"/>
    <n v="2784"/>
    <m/>
    <n v="1824"/>
    <m/>
    <n v="960"/>
    <m/>
    <n v="1275"/>
    <n v="85"/>
    <n v="0"/>
    <n v="0"/>
    <n v="0"/>
    <s v="2-7"/>
    <m/>
    <n v="10"/>
    <n v="8.5"/>
    <n v="0.14166666666666666"/>
    <n v="0.85"/>
    <m/>
    <m/>
    <n v="10"/>
    <n v="0"/>
    <n v="327.52941176470586"/>
    <m/>
    <n v="112.94117647058823"/>
    <n v="0"/>
    <n v="0"/>
    <n v="0.23529411764705882"/>
    <n v="0"/>
    <n v="0.23529411764705882"/>
    <n v="0"/>
    <n v="150"/>
    <n v="0"/>
    <n v="0"/>
    <n v="4144"/>
    <n v="487.52941176470586"/>
    <s v="not sure about 57 seems high?"/>
  </r>
  <r>
    <d v="2024-07-22T00:00:00"/>
    <x v="0"/>
    <x v="6"/>
    <m/>
    <n v="338"/>
    <n v="4056"/>
    <s v="3/8"/>
    <n v="0"/>
    <n v="57"/>
    <n v="1806"/>
    <m/>
    <n v="1806"/>
    <m/>
    <n v="0"/>
    <m/>
    <n v="1200"/>
    <n v="80"/>
    <n v="2000"/>
    <n v="0"/>
    <n v="0"/>
    <s v="2-7"/>
    <m/>
    <n v="10"/>
    <n v="8"/>
    <n v="0.13333333333333333"/>
    <n v="0.8"/>
    <m/>
    <m/>
    <n v="10"/>
    <n v="0"/>
    <n v="225.75"/>
    <m/>
    <m/>
    <n v="0"/>
    <n v="0"/>
    <n v="0"/>
    <n v="0"/>
    <n v="0"/>
    <n v="250"/>
    <n v="150"/>
    <n v="0"/>
    <n v="0"/>
    <n v="5086"/>
    <n v="635.75"/>
    <s v="Superior screen binded over made CR"/>
  </r>
  <r>
    <d v="2024-07-23T00:00:00"/>
    <x v="0"/>
    <x v="6"/>
    <m/>
    <n v="335"/>
    <n v="4020"/>
    <s v="3/8"/>
    <n v="0"/>
    <n v="57"/>
    <n v="2778"/>
    <m/>
    <n v="1825"/>
    <m/>
    <n v="953"/>
    <m/>
    <n v="1035"/>
    <n v="69"/>
    <n v="0"/>
    <n v="0"/>
    <n v="0"/>
    <s v="2-7"/>
    <m/>
    <n v="10"/>
    <n v="6.9"/>
    <n v="0.115"/>
    <n v="0.69000000000000006"/>
    <m/>
    <m/>
    <n v="10"/>
    <n v="0"/>
    <n v="402.60869565217388"/>
    <m/>
    <n v="138.1159420289855"/>
    <n v="0"/>
    <n v="0"/>
    <n v="0.23706467661691541"/>
    <n v="0"/>
    <n v="0.23706467661691541"/>
    <n v="0"/>
    <n v="150"/>
    <n v="0"/>
    <n v="0"/>
    <n v="3882"/>
    <n v="562.60869565217388"/>
    <s v="Ran all amterial of ramp, blasting , stockpiled "/>
  </r>
  <r>
    <d v="2024-07-25T00:00:00"/>
    <x v="0"/>
    <x v="6"/>
    <m/>
    <n v="430"/>
    <n v="5160"/>
    <s v="3/8"/>
    <n v="0"/>
    <n v="57"/>
    <n v="3176"/>
    <m/>
    <n v="2115"/>
    <m/>
    <n v="1061"/>
    <m/>
    <n v="1275"/>
    <n v="85"/>
    <n v="0"/>
    <n v="0"/>
    <n v="0"/>
    <s v="2-7"/>
    <m/>
    <n v="11"/>
    <n v="8.5"/>
    <n v="0.12878787878787878"/>
    <n v="0.77272727272727271"/>
    <m/>
    <m/>
    <n v="10"/>
    <n v="0"/>
    <n v="373.64705882352939"/>
    <m/>
    <n v="124.82352941176471"/>
    <n v="0"/>
    <n v="0"/>
    <n v="0.20562015503875969"/>
    <n v="0"/>
    <n v="0.20562015503875969"/>
    <n v="0"/>
    <n v="150"/>
    <n v="0"/>
    <n v="0"/>
    <n v="4536"/>
    <n v="533.64705882352939"/>
    <m/>
  </r>
  <r>
    <d v="2024-07-26T00:00:00"/>
    <x v="0"/>
    <x v="6"/>
    <m/>
    <n v="341"/>
    <n v="4092"/>
    <s v="3/8"/>
    <n v="0"/>
    <n v="57"/>
    <n v="2733"/>
    <m/>
    <n v="1901"/>
    <m/>
    <n v="832"/>
    <m/>
    <n v="1440"/>
    <n v="96"/>
    <n v="0"/>
    <n v="0"/>
    <n v="0"/>
    <s v="2-7"/>
    <m/>
    <n v="10.6"/>
    <n v="9.58"/>
    <n v="0.15062893081761008"/>
    <n v="0.9037735849056604"/>
    <m/>
    <m/>
    <n v="10.020876826722338"/>
    <n v="0"/>
    <n v="285.28183716075154"/>
    <m/>
    <n v="86.847599164926933"/>
    <n v="0"/>
    <n v="0"/>
    <n v="0.20332355816226785"/>
    <n v="0"/>
    <n v="0.20332355816226785"/>
    <n v="0"/>
    <n v="150.31315240083507"/>
    <n v="0"/>
    <n v="0"/>
    <n v="4269"/>
    <n v="445.61586638830892"/>
    <m/>
  </r>
  <r>
    <d v="2024-07-29T00:00:00"/>
    <x v="0"/>
    <x v="6"/>
    <m/>
    <n v="285"/>
    <n v="3420"/>
    <s v="3/8"/>
    <n v="0"/>
    <n v="57"/>
    <n v="2284"/>
    <m/>
    <n v="1526"/>
    <m/>
    <n v="758"/>
    <m/>
    <n v="1095"/>
    <n v="73"/>
    <n v="0"/>
    <n v="0"/>
    <n v="0"/>
    <s v="2-7"/>
    <m/>
    <n v="10"/>
    <n v="7.3"/>
    <n v="0.12166666666666666"/>
    <n v="0.73"/>
    <m/>
    <m/>
    <n v="10"/>
    <n v="0"/>
    <n v="312.87671232876716"/>
    <m/>
    <n v="103.83561643835617"/>
    <n v="0"/>
    <n v="0"/>
    <n v="0.2216374269005848"/>
    <n v="0"/>
    <n v="0.2216374269005848"/>
    <n v="0"/>
    <n v="150"/>
    <n v="0"/>
    <n v="0"/>
    <n v="3452"/>
    <n v="472.87671232876716"/>
    <s v="stockpiled first thing 95 minutes"/>
  </r>
  <r>
    <d v="2024-07-30T00:00:00"/>
    <x v="0"/>
    <x v="6"/>
    <m/>
    <n v="336"/>
    <n v="4032"/>
    <s v="3/8"/>
    <n v="0"/>
    <n v="57"/>
    <n v="2624"/>
    <m/>
    <n v="1759"/>
    <m/>
    <n v="865"/>
    <m/>
    <n v="990"/>
    <n v="66"/>
    <n v="0"/>
    <n v="0"/>
    <n v="0"/>
    <s v="2-7"/>
    <m/>
    <n v="10"/>
    <n v="6.6"/>
    <n v="0.11"/>
    <n v="0.65999999999999992"/>
    <m/>
    <m/>
    <n v="10"/>
    <n v="0"/>
    <n v="397.57575757575762"/>
    <m/>
    <n v="131.06060606060606"/>
    <n v="0"/>
    <n v="0"/>
    <n v="0.21453373015873015"/>
    <n v="0"/>
    <n v="0.21453373015873015"/>
    <n v="0"/>
    <n v="150"/>
    <n v="0"/>
    <n v="0"/>
    <n v="3680"/>
    <n v="557.57575757575762"/>
    <m/>
  </r>
  <r>
    <d v="2024-08-01T00:00:00"/>
    <x v="0"/>
    <x v="7"/>
    <m/>
    <n v="276"/>
    <n v="3312"/>
    <s v="3/8"/>
    <n v="0"/>
    <n v="57"/>
    <n v="2242"/>
    <m/>
    <n v="1502"/>
    <m/>
    <n v="740"/>
    <m/>
    <n v="870"/>
    <n v="58"/>
    <n v="0"/>
    <n v="0"/>
    <n v="0"/>
    <s v="2-7"/>
    <m/>
    <n v="12"/>
    <n v="5.8"/>
    <n v="8.0555555555555547E-2"/>
    <n v="0.48333333333333334"/>
    <m/>
    <m/>
    <n v="10"/>
    <n v="0"/>
    <n v="386.55172413793105"/>
    <m/>
    <n v="127.58620689655173"/>
    <n v="0"/>
    <n v="0"/>
    <n v="0.22342995169082125"/>
    <n v="0"/>
    <n v="0.22342995169082125"/>
    <n v="0"/>
    <n v="150"/>
    <n v="0"/>
    <n v="0"/>
    <n v="3170"/>
    <n v="546.55172413793105"/>
    <s v="Bearing out on screen feed heady pully"/>
  </r>
  <r>
    <d v="2024-08-02T00:00:00"/>
    <x v="0"/>
    <x v="7"/>
    <m/>
    <n v="151"/>
    <n v="1812"/>
    <s v="3/8"/>
    <n v="0"/>
    <n v="57"/>
    <n v="1216"/>
    <m/>
    <n v="797"/>
    <m/>
    <n v="419"/>
    <m/>
    <n v="450"/>
    <n v="31"/>
    <n v="0"/>
    <n v="0"/>
    <n v="0"/>
    <s v="2-7"/>
    <m/>
    <n v="4"/>
    <n v="3"/>
    <n v="0.125"/>
    <n v="0.75"/>
    <m/>
    <m/>
    <n v="10.333333333333334"/>
    <n v="0"/>
    <n v="405.33333333333331"/>
    <m/>
    <n v="139.66666666666666"/>
    <n v="0"/>
    <n v="0"/>
    <n v="0.23123620309050771"/>
    <n v="0"/>
    <n v="0.23123620309050771"/>
    <n v="0"/>
    <n v="150"/>
    <n v="0"/>
    <n v="0"/>
    <n v="1697"/>
    <n v="565.66666666666663"/>
    <s v="ran kleemen 3 hours them rinsed the rest of day "/>
  </r>
  <r>
    <d v="2024-08-05T00:00:00"/>
    <x v="0"/>
    <x v="7"/>
    <m/>
    <n v="392"/>
    <n v="4704"/>
    <s v="3/8"/>
    <n v="0"/>
    <n v="57"/>
    <n v="3162"/>
    <m/>
    <n v="2125"/>
    <m/>
    <n v="1037"/>
    <m/>
    <n v="1215"/>
    <n v="81"/>
    <n v="0"/>
    <n v="0"/>
    <n v="0"/>
    <s v="2-7"/>
    <m/>
    <n v="12"/>
    <n v="8.1"/>
    <n v="0.11249999999999999"/>
    <n v="0.67499999999999993"/>
    <m/>
    <m/>
    <n v="10"/>
    <n v="0"/>
    <n v="390.37037037037038"/>
    <m/>
    <n v="128.02469135802471"/>
    <n v="0"/>
    <n v="0"/>
    <n v="0.22045068027210885"/>
    <n v="0"/>
    <n v="0.22045068027210885"/>
    <n v="0"/>
    <n v="150"/>
    <n v="0"/>
    <n v="0"/>
    <n v="4458"/>
    <n v="550.37037037037044"/>
    <s v="2-304 code, bogged hopper cr side down."/>
  </r>
  <r>
    <d v="2024-08-06T00:00:00"/>
    <x v="0"/>
    <x v="7"/>
    <m/>
    <n v="174"/>
    <n v="2088"/>
    <s v="3/8"/>
    <n v="0"/>
    <n v="57"/>
    <n v="3057"/>
    <m/>
    <n v="2064"/>
    <m/>
    <n v="993"/>
    <m/>
    <n v="525"/>
    <n v="35"/>
    <n v="0"/>
    <n v="0"/>
    <n v="0"/>
    <s v="2-7"/>
    <m/>
    <n v="10"/>
    <n v="7"/>
    <n v="0.11666666666666667"/>
    <n v="0.7"/>
    <m/>
    <m/>
    <n v="5"/>
    <n v="0"/>
    <n v="436.71428571428572"/>
    <m/>
    <n v="141.85714285714286"/>
    <n v="0"/>
    <n v="0"/>
    <n v="0.47557471264367818"/>
    <n v="0"/>
    <n v="0.47557471264367818"/>
    <n v="0"/>
    <n v="75"/>
    <n v="0"/>
    <n v="0"/>
    <n v="3617"/>
    <n v="516.71428571428578"/>
    <m/>
  </r>
  <r>
    <d v="2024-08-07T00:00:00"/>
    <x v="0"/>
    <x v="7"/>
    <m/>
    <n v="174"/>
    <n v="2088"/>
    <s v="3/8"/>
    <n v="0"/>
    <n v="57"/>
    <n v="3057"/>
    <m/>
    <n v="2064"/>
    <m/>
    <n v="993"/>
    <m/>
    <n v="525"/>
    <n v="35"/>
    <n v="0"/>
    <n v="0"/>
    <n v="0"/>
    <s v="2-7"/>
    <m/>
    <n v="10"/>
    <n v="7"/>
    <n v="0.11666666666666667"/>
    <n v="0.7"/>
    <m/>
    <m/>
    <n v="5"/>
    <n v="0"/>
    <n v="436.71428571428572"/>
    <m/>
    <n v="141.85714285714286"/>
    <n v="0"/>
    <n v="0"/>
    <n v="0.47557471264367818"/>
    <n v="0"/>
    <n v="0.47557471264367818"/>
    <n v="0"/>
    <n v="75"/>
    <n v="0"/>
    <n v="0"/>
    <n v="3617"/>
    <n v="516.71428571428578"/>
    <s v="9 304 codes 45 Minutes"/>
  </r>
  <r>
    <d v="2024-08-09T00:00:00"/>
    <x v="0"/>
    <x v="7"/>
    <m/>
    <n v="301"/>
    <n v="3612"/>
    <s v="3/8"/>
    <n v="0"/>
    <n v="57"/>
    <n v="2474"/>
    <m/>
    <n v="1709"/>
    <m/>
    <n v="765"/>
    <m/>
    <n v="990"/>
    <n v="66"/>
    <n v="0"/>
    <n v="0"/>
    <n v="0"/>
    <s v="2-7"/>
    <m/>
    <n v="10"/>
    <n v="6.6"/>
    <n v="0.11"/>
    <n v="0.65999999999999992"/>
    <m/>
    <m/>
    <n v="10"/>
    <n v="0"/>
    <n v="374.84848484848487"/>
    <m/>
    <n v="115.90909090909092"/>
    <n v="0"/>
    <n v="0"/>
    <n v="0.21179401993355482"/>
    <n v="0"/>
    <n v="0.21179401993355482"/>
    <n v="0"/>
    <n v="150"/>
    <n v="0"/>
    <n v="0"/>
    <n v="3530"/>
    <n v="534.84848484848487"/>
    <s v="3 - 304"/>
  </r>
  <r>
    <d v="2024-08-13T00:00:00"/>
    <x v="0"/>
    <x v="7"/>
    <m/>
    <n v="286"/>
    <n v="3432"/>
    <s v="3/8"/>
    <n v="0"/>
    <n v="57"/>
    <n v="2246"/>
    <m/>
    <n v="1464"/>
    <m/>
    <n v="782"/>
    <m/>
    <n v="930"/>
    <n v="62"/>
    <n v="0"/>
    <n v="0"/>
    <n v="0"/>
    <s v="2-7"/>
    <m/>
    <n v="10"/>
    <n v="6.2"/>
    <n v="0.10333333333333333"/>
    <n v="0.62"/>
    <m/>
    <m/>
    <n v="10"/>
    <n v="0"/>
    <n v="362.25806451612902"/>
    <m/>
    <n v="126.12903225806451"/>
    <n v="0"/>
    <n v="0"/>
    <n v="0.22785547785547786"/>
    <n v="0"/>
    <n v="0.22785547785547786"/>
    <n v="0"/>
    <n v="150"/>
    <n v="0"/>
    <n v="0"/>
    <n v="3238"/>
    <n v="522.25806451612902"/>
    <s v="3-304 codes 20 minutes"/>
  </r>
  <r>
    <d v="2024-08-14T00:00:00"/>
    <x v="0"/>
    <x v="7"/>
    <m/>
    <n v="506"/>
    <n v="6072"/>
    <s v="3/8"/>
    <n v="0"/>
    <n v="57"/>
    <n v="3267"/>
    <m/>
    <n v="2504"/>
    <m/>
    <n v="763"/>
    <m/>
    <n v="1500"/>
    <n v="150"/>
    <n v="978"/>
    <n v="0"/>
    <n v="0"/>
    <s v="2-7"/>
    <m/>
    <n v="12"/>
    <n v="10"/>
    <n v="0.1388888888888889"/>
    <n v="0.83333333333333337"/>
    <m/>
    <m/>
    <n v="15"/>
    <n v="0"/>
    <n v="326.7"/>
    <m/>
    <n v="76.3"/>
    <n v="0"/>
    <n v="0"/>
    <n v="0.12565876152832675"/>
    <n v="0"/>
    <n v="0.12565876152832675"/>
    <n v="97.8"/>
    <n v="150"/>
    <n v="0"/>
    <n v="0"/>
    <n v="5895"/>
    <n v="589.5"/>
    <s v="4-304 codes 30 minutes"/>
  </r>
  <r>
    <d v="2024-08-16T00:00:00"/>
    <x v="0"/>
    <x v="7"/>
    <m/>
    <n v="292"/>
    <n v="3504"/>
    <s v="3/8"/>
    <n v="0"/>
    <n v="57"/>
    <n v="2510"/>
    <m/>
    <n v="1718"/>
    <m/>
    <n v="792"/>
    <m/>
    <n v="1080"/>
    <n v="72"/>
    <n v="0"/>
    <n v="0"/>
    <n v="0"/>
    <s v="2-7"/>
    <m/>
    <n v="12"/>
    <n v="7.2"/>
    <n v="0.1"/>
    <n v="0.6"/>
    <m/>
    <m/>
    <n v="10"/>
    <n v="0"/>
    <n v="348.61111111111109"/>
    <m/>
    <n v="110"/>
    <n v="0"/>
    <n v="0"/>
    <n v="0.22602739726027396"/>
    <n v="0"/>
    <n v="0.22602739726027396"/>
    <n v="0"/>
    <n v="150"/>
    <n v="0"/>
    <n v="0"/>
    <n v="3662"/>
    <n v="508.61111111111109"/>
    <s v="5 304 codes"/>
  </r>
  <r>
    <d v="2024-08-20T00:00:00"/>
    <x v="0"/>
    <x v="7"/>
    <m/>
    <n v="261"/>
    <n v="3132"/>
    <s v="3/8"/>
    <n v="0"/>
    <n v="57"/>
    <n v="2046"/>
    <m/>
    <n v="1427"/>
    <m/>
    <n v="619"/>
    <m/>
    <n v="945"/>
    <n v="63"/>
    <n v="0"/>
    <n v="0"/>
    <n v="0"/>
    <s v="2-7"/>
    <m/>
    <n v="10"/>
    <n v="6.3"/>
    <n v="0.105"/>
    <n v="0.63"/>
    <m/>
    <m/>
    <n v="10"/>
    <n v="0"/>
    <n v="324.76190476190476"/>
    <m/>
    <n v="98.253968253968253"/>
    <n v="0"/>
    <n v="0"/>
    <n v="0.19763729246487868"/>
    <n v="0"/>
    <n v="0.19763729246487868"/>
    <n v="0"/>
    <n v="150"/>
    <n v="0"/>
    <n v="0"/>
    <n v="3054"/>
    <n v="484.76190476190476"/>
    <s v="9- 304 codes 60 minutes"/>
  </r>
  <r>
    <d v="2024-08-21T00:00:00"/>
    <x v="0"/>
    <x v="7"/>
    <m/>
    <n v="341"/>
    <n v="4092"/>
    <s v="3/8"/>
    <n v="0"/>
    <n v="57"/>
    <n v="2705"/>
    <m/>
    <n v="1805"/>
    <m/>
    <n v="900"/>
    <m/>
    <n v="1260"/>
    <n v="84"/>
    <n v="0"/>
    <n v="0"/>
    <n v="0"/>
    <s v="2-7"/>
    <m/>
    <n v="10"/>
    <n v="8.4"/>
    <n v="0.14000000000000001"/>
    <n v="0.84000000000000008"/>
    <m/>
    <m/>
    <n v="10"/>
    <n v="0"/>
    <n v="322.02380952380952"/>
    <m/>
    <n v="107.14285714285714"/>
    <n v="0"/>
    <n v="0"/>
    <n v="0.21994134897360704"/>
    <n v="0"/>
    <n v="0.21994134897360704"/>
    <n v="0"/>
    <n v="150"/>
    <n v="0"/>
    <n v="0"/>
    <n v="4049"/>
    <n v="482.02380952380952"/>
    <s v="7 304 codes 30 minutes on thightening line on loader"/>
  </r>
  <r>
    <d v="2024-08-23T00:00:00"/>
    <x v="0"/>
    <x v="7"/>
    <m/>
    <n v="184"/>
    <n v="2208"/>
    <s v="3/8"/>
    <n v="0"/>
    <n v="57"/>
    <n v="1360"/>
    <m/>
    <n v="964"/>
    <m/>
    <n v="396"/>
    <m/>
    <n v="420"/>
    <n v="28"/>
    <n v="0"/>
    <n v="0"/>
    <n v="0"/>
    <s v="2-7"/>
    <m/>
    <n v="10"/>
    <n v="2.8"/>
    <n v="4.6666666666666662E-2"/>
    <n v="0.27999999999999997"/>
    <m/>
    <m/>
    <n v="10"/>
    <n v="0"/>
    <n v="485.71428571428572"/>
    <m/>
    <n v="141.42857142857144"/>
    <n v="0"/>
    <n v="0"/>
    <n v="0.17934782608695651"/>
    <n v="0"/>
    <n v="0.17934782608695651"/>
    <n v="0"/>
    <n v="150"/>
    <n v="0"/>
    <n v="0"/>
    <n v="1808"/>
    <n v="645.71428571428578"/>
    <s v="Changed out two blow bars 8 hours"/>
  </r>
  <r>
    <d v="2024-08-24T00:00:00"/>
    <x v="0"/>
    <x v="7"/>
    <m/>
    <n v="347"/>
    <n v="4164"/>
    <s v="3/8"/>
    <n v="0"/>
    <n v="57"/>
    <n v="2957"/>
    <m/>
    <n v="2017"/>
    <m/>
    <n v="940"/>
    <m/>
    <n v="1220"/>
    <n v="61"/>
    <n v="0"/>
    <n v="0"/>
    <n v="0"/>
    <s v="2-7"/>
    <m/>
    <n v="8"/>
    <n v="6.1"/>
    <n v="0.12708333333333333"/>
    <n v="0.76249999999999996"/>
    <m/>
    <m/>
    <n v="10"/>
    <n v="0"/>
    <n v="484.75409836065575"/>
    <m/>
    <n v="154.09836065573771"/>
    <n v="0"/>
    <n v="0"/>
    <n v="0.22574447646493756"/>
    <n v="0"/>
    <n v="0.22574447646493756"/>
    <n v="0"/>
    <n v="200"/>
    <n v="0"/>
    <n v="0"/>
    <n v="4238"/>
    <n v="694.75409836065569"/>
    <s v="1 - 304 code big rock"/>
  </r>
  <r>
    <d v="2024-08-27T00:00:00"/>
    <x v="0"/>
    <x v="7"/>
    <m/>
    <n v="433"/>
    <n v="5196"/>
    <s v="3/8"/>
    <n v="0"/>
    <n v="57"/>
    <n v="3546"/>
    <m/>
    <n v="2429"/>
    <m/>
    <n v="1117"/>
    <m/>
    <n v="1560"/>
    <n v="78"/>
    <n v="0"/>
    <n v="0"/>
    <n v="0"/>
    <s v="2-7"/>
    <m/>
    <n v="10"/>
    <n v="7.8"/>
    <n v="0.13"/>
    <n v="0.78"/>
    <m/>
    <m/>
    <n v="10"/>
    <n v="0"/>
    <n v="454.61538461538464"/>
    <m/>
    <n v="143.2051282051282"/>
    <n v="0"/>
    <n v="0"/>
    <n v="0.21497305619707469"/>
    <n v="0"/>
    <n v="0.21497305619707469"/>
    <n v="0"/>
    <n v="200"/>
    <n v="0"/>
    <n v="0"/>
    <n v="5184"/>
    <n v="664.61538461538464"/>
    <s v="25 minutes on under pan feeder relay tripping."/>
  </r>
  <r>
    <d v="2024-08-30T00:00:00"/>
    <x v="0"/>
    <x v="7"/>
    <m/>
    <n v="401"/>
    <n v="4812"/>
    <s v="3/8"/>
    <n v="0"/>
    <n v="57"/>
    <n v="3348"/>
    <m/>
    <n v="2340"/>
    <m/>
    <n v="1008"/>
    <m/>
    <n v="1440"/>
    <n v="72"/>
    <n v="0"/>
    <n v="0"/>
    <n v="0"/>
    <s v="2-7"/>
    <m/>
    <n v="10"/>
    <n v="7.2"/>
    <n v="0.12000000000000001"/>
    <n v="0.72"/>
    <m/>
    <m/>
    <n v="10"/>
    <n v="0"/>
    <n v="465"/>
    <m/>
    <n v="140"/>
    <n v="0"/>
    <n v="0"/>
    <n v="0.20947630922693267"/>
    <n v="0"/>
    <n v="0.20947630922693267"/>
    <n v="0"/>
    <n v="200"/>
    <n v="0"/>
    <n v="0"/>
    <n v="4860"/>
    <n v="675"/>
    <s v="2= 304 codes "/>
  </r>
  <r>
    <d v="2024-09-03T00:00:00"/>
    <x v="0"/>
    <x v="8"/>
    <m/>
    <n v="488"/>
    <n v="5856"/>
    <s v="3/8"/>
    <n v="0"/>
    <n v="57"/>
    <n v="3784"/>
    <m/>
    <n v="2633"/>
    <m/>
    <n v="1151"/>
    <m/>
    <n v="1740"/>
    <n v="87"/>
    <n v="0"/>
    <n v="0"/>
    <n v="0"/>
    <s v="2-7"/>
    <m/>
    <n v="10"/>
    <n v="8.6999999999999993"/>
    <n v="0.14499999999999999"/>
    <n v="0.86999999999999988"/>
    <m/>
    <m/>
    <n v="10"/>
    <n v="0"/>
    <n v="434.94252873563221"/>
    <m/>
    <n v="132.29885057471265"/>
    <n v="0"/>
    <n v="0"/>
    <n v="0.19655054644808742"/>
    <n v="0"/>
    <n v="0.19655054644808742"/>
    <n v="0"/>
    <n v="200.00000000000003"/>
    <n v="0"/>
    <n v="0"/>
    <n v="5611"/>
    <n v="644.94252873563221"/>
    <m/>
  </r>
  <r>
    <d v="2024-09-06T00:00:00"/>
    <x v="0"/>
    <x v="8"/>
    <m/>
    <n v="391"/>
    <n v="4692"/>
    <s v="3/8"/>
    <n v="0"/>
    <n v="57"/>
    <n v="2896"/>
    <m/>
    <n v="2160"/>
    <m/>
    <n v="736"/>
    <m/>
    <n v="1400"/>
    <n v="70"/>
    <n v="0"/>
    <n v="0"/>
    <n v="0"/>
    <s v="2-7"/>
    <m/>
    <n v="10"/>
    <n v="7"/>
    <n v="0.11666666666666667"/>
    <n v="0.7"/>
    <m/>
    <m/>
    <n v="10"/>
    <n v="0"/>
    <n v="413.71428571428572"/>
    <m/>
    <n v="105.14285714285714"/>
    <n v="0"/>
    <n v="0"/>
    <n v="0.15686274509803921"/>
    <n v="0"/>
    <n v="0.15686274509803921"/>
    <n v="0"/>
    <n v="200"/>
    <n v="0"/>
    <n v="0"/>
    <n v="4366"/>
    <n v="623.71428571428578"/>
    <s v="1- 304 code Changed oil in screemns trexe NAD SUPERIOR"/>
  </r>
  <r>
    <d v="2024-09-09T00:00:00"/>
    <x v="0"/>
    <x v="8"/>
    <m/>
    <n v="525"/>
    <n v="6300"/>
    <s v="3/8"/>
    <n v="0"/>
    <n v="57"/>
    <n v="3906"/>
    <m/>
    <n v="3003"/>
    <m/>
    <n v="903"/>
    <m/>
    <n v="1800"/>
    <n v="90"/>
    <n v="0"/>
    <n v="0"/>
    <n v="0"/>
    <s v="2-7"/>
    <m/>
    <n v="12"/>
    <n v="9"/>
    <n v="0.125"/>
    <n v="0.75"/>
    <m/>
    <m/>
    <n v="10"/>
    <n v="0"/>
    <n v="434"/>
    <m/>
    <n v="100.33333333333333"/>
    <n v="0"/>
    <n v="0"/>
    <n v="0.14333333333333334"/>
    <n v="0"/>
    <n v="0.14333333333333334"/>
    <n v="0"/>
    <n v="200"/>
    <n v="0"/>
    <n v="0"/>
    <n v="5796"/>
    <n v="644"/>
    <s v="4- 304 codes"/>
  </r>
  <r>
    <d v="2024-09-12T00:00:00"/>
    <x v="0"/>
    <x v="8"/>
    <m/>
    <n v="321"/>
    <n v="3852"/>
    <s v="3?8"/>
    <n v="0"/>
    <n v="57"/>
    <n v="2582"/>
    <m/>
    <n v="1919"/>
    <m/>
    <n v="663"/>
    <m/>
    <n v="1183"/>
    <n v="59"/>
    <n v="0"/>
    <n v="0"/>
    <n v="0"/>
    <s v="2=7"/>
    <m/>
    <n v="10"/>
    <n v="5.9"/>
    <n v="9.8333333333333342E-2"/>
    <n v="0.59000000000000008"/>
    <m/>
    <m/>
    <n v="10"/>
    <n v="0"/>
    <n v="437.62711864406776"/>
    <m/>
    <n v="112.37288135593219"/>
    <n v="0"/>
    <n v="0"/>
    <n v="0.17211838006230529"/>
    <n v="0"/>
    <n v="0.17211838006230529"/>
    <n v="0"/>
    <n v="200.50847457627117"/>
    <n v="0"/>
    <n v="0"/>
    <n v="3824"/>
    <n v="648.13559322033893"/>
    <s v="1-304 code"/>
  </r>
  <r>
    <d v="2024-09-13T00:00:00"/>
    <x v="0"/>
    <x v="8"/>
    <m/>
    <n v="542"/>
    <n v="6504"/>
    <s v="3/8"/>
    <n v="0"/>
    <n v="57"/>
    <n v="4900"/>
    <m/>
    <n v="3052"/>
    <m/>
    <n v="1848"/>
    <m/>
    <n v="2080"/>
    <n v="104"/>
    <n v="0"/>
    <n v="0"/>
    <n v="0"/>
    <s v="2-7"/>
    <m/>
    <n v="12"/>
    <n v="10.4"/>
    <n v="0.14444444444444446"/>
    <n v="0.8666666666666667"/>
    <m/>
    <m/>
    <n v="10"/>
    <n v="0"/>
    <n v="471.15384615384613"/>
    <m/>
    <n v="177.69230769230768"/>
    <n v="0"/>
    <n v="0"/>
    <n v="0.28413284132841327"/>
    <n v="0"/>
    <n v="0.28413284132841327"/>
    <n v="0"/>
    <n v="200"/>
    <n v="0"/>
    <n v="0"/>
    <n v="7084"/>
    <n v="681.15384615384619"/>
    <s v="1 304 code"/>
  </r>
  <r>
    <d v="2024-09-17T00:00:00"/>
    <x v="0"/>
    <x v="8"/>
    <m/>
    <n v="214"/>
    <n v="2568"/>
    <s v="3/8"/>
    <n v="0"/>
    <n v="57"/>
    <n v="1595"/>
    <m/>
    <n v="1077"/>
    <m/>
    <n v="518"/>
    <m/>
    <n v="1000"/>
    <n v="50"/>
    <n v="0"/>
    <n v="0"/>
    <n v="0"/>
    <s v="2-7"/>
    <m/>
    <n v="10"/>
    <n v="5"/>
    <n v="8.3333333333333329E-2"/>
    <n v="0.5"/>
    <m/>
    <m/>
    <n v="10"/>
    <n v="0"/>
    <n v="319"/>
    <m/>
    <n v="103.6"/>
    <n v="0"/>
    <n v="0"/>
    <n v="0.20171339563862928"/>
    <n v="0"/>
    <n v="0.20171339563862928"/>
    <n v="0"/>
    <n v="200"/>
    <n v="0"/>
    <n v="0"/>
    <n v="2645"/>
    <n v="529"/>
    <s v="Stockpiling, Rinsed and producd off Kleemen slow feed for washer"/>
  </r>
  <r>
    <d v="2024-09-18T00:00:00"/>
    <x v="0"/>
    <x v="8"/>
    <m/>
    <n v="467"/>
    <n v="5604"/>
    <s v="3/8"/>
    <n v="0"/>
    <n v="57"/>
    <n v="3989"/>
    <m/>
    <n v="2828"/>
    <m/>
    <n v="1161"/>
    <m/>
    <n v="1800"/>
    <n v="90"/>
    <n v="0"/>
    <n v="0"/>
    <n v="0"/>
    <s v="2-7"/>
    <m/>
    <n v="10"/>
    <n v="9"/>
    <n v="0.15"/>
    <n v="0.9"/>
    <m/>
    <m/>
    <n v="10"/>
    <n v="0"/>
    <n v="443.22222222222223"/>
    <m/>
    <n v="129"/>
    <n v="0"/>
    <n v="0"/>
    <n v="0.20717344753747324"/>
    <n v="0"/>
    <n v="0.20717344753747324"/>
    <n v="0"/>
    <n v="200"/>
    <n v="0"/>
    <n v="0"/>
    <n v="5879"/>
    <n v="653.22222222222217"/>
    <s v="57 scale reading wrong"/>
  </r>
  <r>
    <d v="2024-09-23T00:00:00"/>
    <x v="0"/>
    <x v="8"/>
    <m/>
    <n v="477"/>
    <n v="5724"/>
    <s v="3/8"/>
    <n v="0"/>
    <n v="57"/>
    <n v="2610"/>
    <m/>
    <n v="2610"/>
    <m/>
    <n v="0"/>
    <m/>
    <n v="1350"/>
    <n v="0"/>
    <n v="2487"/>
    <n v="0"/>
    <n v="0"/>
    <s v="2-7"/>
    <m/>
    <n v="10"/>
    <n v="9"/>
    <n v="0.15"/>
    <n v="0.9"/>
    <m/>
    <m/>
    <n v="0"/>
    <n v="0"/>
    <n v="290"/>
    <m/>
    <m/>
    <n v="0"/>
    <n v="0"/>
    <n v="0"/>
    <n v="0"/>
    <n v="0"/>
    <n v="276.33333333333331"/>
    <n v="150"/>
    <n v="0"/>
    <n v="0"/>
    <n v="6447"/>
    <n v="716.33333333333326"/>
    <s v="7 scale reading wrong, 1 - 304 code made crusher run material wet."/>
  </r>
  <r>
    <d v="2024-09-24T00:00:00"/>
    <x v="0"/>
    <x v="8"/>
    <m/>
    <n v="455"/>
    <n v="5460"/>
    <s v="3/8"/>
    <n v="0"/>
    <n v="57"/>
    <n v="2831"/>
    <m/>
    <n v="2231"/>
    <m/>
    <n v="600"/>
    <m/>
    <n v="1200"/>
    <n v="75"/>
    <n v="406"/>
    <n v="0"/>
    <n v="0"/>
    <s v="2-7"/>
    <m/>
    <n v="10"/>
    <n v="7.5"/>
    <n v="0.125"/>
    <n v="0.75"/>
    <m/>
    <m/>
    <n v="10"/>
    <n v="0"/>
    <n v="377.46666666666664"/>
    <m/>
    <n v="80"/>
    <n v="0"/>
    <n v="0"/>
    <n v="0.10989010989010989"/>
    <n v="0"/>
    <n v="0.10989010989010989"/>
    <n v="54.133333333333333"/>
    <n v="160"/>
    <n v="0"/>
    <n v="0"/>
    <n v="4512"/>
    <n v="601.59999999999991"/>
    <s v="3- 304 codes loader feeding to fast"/>
  </r>
  <r>
    <d v="2024-09-25T00:00:00"/>
    <x v="0"/>
    <x v="8"/>
    <m/>
    <n v="293"/>
    <n v="3516"/>
    <s v="3/8"/>
    <n v="0"/>
    <n v="57"/>
    <n v="2341"/>
    <m/>
    <n v="1578"/>
    <m/>
    <n v="763"/>
    <m/>
    <n v="1100"/>
    <n v="55"/>
    <n v="0"/>
    <n v="0"/>
    <n v="0"/>
    <s v="2-7"/>
    <m/>
    <n v="7"/>
    <n v="5.5"/>
    <n v="0.13095238095238096"/>
    <n v="0.7857142857142857"/>
    <m/>
    <m/>
    <n v="10"/>
    <n v="0"/>
    <n v="425.63636363636363"/>
    <m/>
    <n v="138.72727272727272"/>
    <n v="0"/>
    <n v="0"/>
    <n v="0.2170079635949943"/>
    <n v="0"/>
    <n v="0.2170079635949943"/>
    <n v="0"/>
    <n v="200"/>
    <n v="0"/>
    <n v="0"/>
    <n v="3496"/>
    <n v="635.63636363636363"/>
    <s v="loading train had to shut down piles full"/>
  </r>
  <r>
    <d v="2024-09-27T00:00:00"/>
    <x v="0"/>
    <x v="8"/>
    <m/>
    <n v="206"/>
    <n v="2472"/>
    <s v="3/8"/>
    <n v="103"/>
    <n v="57"/>
    <n v="1648"/>
    <m/>
    <n v="1300"/>
    <m/>
    <n v="348"/>
    <m/>
    <n v="1225"/>
    <n v="0"/>
    <n v="0"/>
    <m/>
    <m/>
    <s v="1.5-7"/>
    <m/>
    <n v="8"/>
    <n v="6"/>
    <n v="0.125"/>
    <n v="0.75"/>
    <m/>
    <m/>
    <n v="0"/>
    <n v="17.166666666666668"/>
    <n v="274.66666666666669"/>
    <m/>
    <n v="58"/>
    <n v="0"/>
    <n v="0"/>
    <n v="0.14077669902912621"/>
    <n v="0"/>
    <n v="0.14077669902912621"/>
    <n v="0"/>
    <n v="204.16666666666666"/>
    <m/>
    <m/>
    <n v="2976"/>
    <n v="496.00000000000006"/>
    <s v="Kirby tech ckecking code on engine."/>
  </r>
  <r>
    <d v="2024-09-30T00:00:00"/>
    <x v="0"/>
    <x v="8"/>
    <m/>
    <n v="447"/>
    <n v="5364"/>
    <s v="3/8"/>
    <n v="0"/>
    <n v="57"/>
    <n v="3798"/>
    <m/>
    <n v="2634"/>
    <m/>
    <n v="1164"/>
    <m/>
    <n v="1820"/>
    <n v="91"/>
    <n v="0"/>
    <n v="0"/>
    <n v="0"/>
    <s v="2-7"/>
    <m/>
    <n v="12"/>
    <n v="9.1"/>
    <n v="0.12638888888888888"/>
    <n v="0.7583333333333333"/>
    <m/>
    <m/>
    <n v="10"/>
    <n v="0"/>
    <n v="417.36263736263737"/>
    <m/>
    <n v="127.91208791208791"/>
    <n v="0"/>
    <n v="0"/>
    <n v="0.21700223713646533"/>
    <n v="0"/>
    <n v="0.21700223713646533"/>
    <n v="0"/>
    <n v="200"/>
    <n v="0"/>
    <n v="0"/>
    <n v="5709"/>
    <n v="627.36263736263732"/>
    <s v="stockpilede"/>
  </r>
  <r>
    <d v="2024-10-03T00:00:00"/>
    <x v="0"/>
    <x v="9"/>
    <m/>
    <n v="172"/>
    <n v="2064"/>
    <s v="3/8"/>
    <n v="0"/>
    <n v="57"/>
    <n v="1368"/>
    <m/>
    <n v="982"/>
    <m/>
    <n v="386"/>
    <m/>
    <n v="600"/>
    <n v="30"/>
    <n v="0"/>
    <n v="0"/>
    <n v="0"/>
    <s v="2-7"/>
    <m/>
    <n v="4"/>
    <n v="3"/>
    <n v="0.125"/>
    <n v="0.75"/>
    <m/>
    <m/>
    <n v="10"/>
    <n v="0"/>
    <n v="456"/>
    <m/>
    <n v="128.66666666666666"/>
    <n v="0"/>
    <n v="0"/>
    <n v="0.18701550387596899"/>
    <n v="0"/>
    <n v="0.18701550387596899"/>
    <n v="0"/>
    <n v="200"/>
    <n v="0"/>
    <n v="0"/>
    <n v="1998"/>
    <n v="666"/>
    <s v="Rinsed chips most the morning"/>
  </r>
  <r>
    <d v="2024-10-04T00:00:00"/>
    <x v="0"/>
    <x v="9"/>
    <m/>
    <n v="360"/>
    <n v="4320"/>
    <s v="3/8"/>
    <n v="0"/>
    <n v="57"/>
    <n v="2654"/>
    <m/>
    <n v="2055"/>
    <m/>
    <n v="599"/>
    <m/>
    <n v="1480"/>
    <n v="74"/>
    <n v="0"/>
    <n v="0"/>
    <n v="0"/>
    <s v="2-7"/>
    <m/>
    <n v="10"/>
    <n v="7.4"/>
    <n v="0.12333333333333334"/>
    <n v="0.74"/>
    <m/>
    <m/>
    <n v="10"/>
    <n v="0"/>
    <n v="358.64864864864865"/>
    <m/>
    <n v="80.945945945945937"/>
    <n v="0"/>
    <n v="0"/>
    <n v="0.1386574074074074"/>
    <n v="0"/>
    <n v="0.1386574074074074"/>
    <n v="0"/>
    <n v="200"/>
    <n v="0"/>
    <n v="0"/>
    <n v="4208"/>
    <n v="568.64864864864865"/>
    <s v="2-304"/>
  </r>
  <r>
    <d v="2024-10-07T00:00:00"/>
    <x v="0"/>
    <x v="9"/>
    <m/>
    <n v="451"/>
    <n v="5412"/>
    <s v="3/8"/>
    <n v="0"/>
    <n v="57"/>
    <n v="3327"/>
    <m/>
    <n v="2328"/>
    <m/>
    <n v="999"/>
    <m/>
    <n v="1840"/>
    <n v="90"/>
    <n v="0"/>
    <n v="0"/>
    <n v="0"/>
    <s v="2-7"/>
    <m/>
    <n v="10"/>
    <n v="9.1999999999999993"/>
    <n v="0.15333333333333332"/>
    <n v="0.91999999999999993"/>
    <m/>
    <m/>
    <n v="9.7826086956521738"/>
    <n v="0"/>
    <n v="361.63043478260875"/>
    <m/>
    <n v="108.58695652173914"/>
    <n v="0"/>
    <n v="0"/>
    <n v="0.18458980044345899"/>
    <n v="0"/>
    <n v="0.18458980044345899"/>
    <n v="0"/>
    <n v="200.00000000000003"/>
    <n v="0"/>
    <n v="0"/>
    <n v="5257"/>
    <n v="571.41304347826087"/>
    <m/>
  </r>
  <r>
    <d v="2024-10-10T00:00:00"/>
    <x v="0"/>
    <x v="9"/>
    <m/>
    <n v="310"/>
    <n v="3720"/>
    <s v="3/8"/>
    <n v="0"/>
    <n v="57"/>
    <n v="2291"/>
    <m/>
    <n v="1567"/>
    <m/>
    <n v="724"/>
    <m/>
    <n v="1160"/>
    <n v="58"/>
    <n v="0"/>
    <n v="0"/>
    <n v="0"/>
    <s v="2-7"/>
    <m/>
    <n v="8"/>
    <n v="5.8"/>
    <n v="0.12083333333333333"/>
    <n v="0.72499999999999998"/>
    <m/>
    <m/>
    <n v="10"/>
    <n v="0"/>
    <n v="395"/>
    <m/>
    <n v="124.82758620689656"/>
    <n v="0"/>
    <n v="0"/>
    <n v="0.19462365591397848"/>
    <n v="0"/>
    <n v="0.19462365591397848"/>
    <n v="0"/>
    <n v="200"/>
    <n v="0"/>
    <n v="0"/>
    <n v="3509"/>
    <n v="605"/>
    <s v="1-304 code rinsed frist thing, strat plant at 11.30 then stockpiled"/>
  </r>
  <r>
    <d v="2024-10-11T00:00:00"/>
    <x v="0"/>
    <x v="9"/>
    <m/>
    <n v="573"/>
    <n v="6876"/>
    <s v="3/8"/>
    <n v="0"/>
    <n v="57"/>
    <n v="4248"/>
    <m/>
    <n v="2925"/>
    <m/>
    <n v="1323"/>
    <m/>
    <n v="2080"/>
    <n v="104"/>
    <n v="0"/>
    <n v="0"/>
    <n v="0"/>
    <s v="2-7"/>
    <m/>
    <n v="12"/>
    <n v="10.4"/>
    <n v="0.14444444444444446"/>
    <n v="0.8666666666666667"/>
    <m/>
    <m/>
    <n v="10"/>
    <n v="0"/>
    <n v="408.46153846153845"/>
    <m/>
    <n v="127.21153846153845"/>
    <n v="0"/>
    <n v="0"/>
    <n v="0.19240837696335078"/>
    <n v="0"/>
    <n v="0.19240837696335078"/>
    <n v="0"/>
    <n v="200"/>
    <n v="0"/>
    <n v="0"/>
    <n v="6432"/>
    <n v="618.46153846153845"/>
    <m/>
  </r>
  <r>
    <d v="2024-10-17T00:00:00"/>
    <x v="0"/>
    <x v="9"/>
    <m/>
    <n v="482"/>
    <n v="5784"/>
    <s v="3/8"/>
    <n v="0"/>
    <n v="57"/>
    <n v="3800"/>
    <m/>
    <n v="2387"/>
    <m/>
    <n v="1413"/>
    <m/>
    <n v="1880"/>
    <n v="94"/>
    <n v="0"/>
    <n v="0"/>
    <n v="0"/>
    <s v="2-7"/>
    <m/>
    <n v="12"/>
    <n v="9.4"/>
    <n v="0.13055555555555556"/>
    <n v="0.78333333333333333"/>
    <m/>
    <m/>
    <n v="10"/>
    <n v="0"/>
    <n v="404.25531914893617"/>
    <m/>
    <n v="150.31914893617019"/>
    <n v="0"/>
    <n v="0"/>
    <n v="0.24429460580912862"/>
    <n v="0"/>
    <n v="0.24429460580912862"/>
    <n v="0"/>
    <n v="200"/>
    <n v="0"/>
    <n v="0"/>
    <n v="5774"/>
    <n v="614.25531914893622"/>
    <s v="1-304  2-292 codes CR belt tripped."/>
  </r>
  <r>
    <d v="2024-10-18T00:00:00"/>
    <x v="0"/>
    <x v="9"/>
    <m/>
    <n v="430"/>
    <n v="5160"/>
    <s v="3/8"/>
    <n v="0"/>
    <n v="57"/>
    <n v="3335"/>
    <m/>
    <n v="2191"/>
    <m/>
    <n v="1144"/>
    <m/>
    <n v="1680"/>
    <n v="83"/>
    <n v="0"/>
    <n v="0"/>
    <n v="0"/>
    <s v="2-7"/>
    <m/>
    <n v="12"/>
    <n v="8.3000000000000007"/>
    <n v="0.11527777777777778"/>
    <n v="0.69166666666666676"/>
    <m/>
    <m/>
    <n v="10"/>
    <n v="0"/>
    <n v="401.80722891566262"/>
    <m/>
    <n v="137.8313253012048"/>
    <n v="0"/>
    <n v="0"/>
    <n v="0.22170542635658916"/>
    <n v="0"/>
    <n v="0.22170542635658916"/>
    <n v="0"/>
    <n v="202.40963855421685"/>
    <n v="0"/>
    <n v="0"/>
    <n v="5098"/>
    <n v="614.2168674698795"/>
    <s v="1- 304 code   rock in tail pully 2 times 20 minutes"/>
  </r>
  <r>
    <d v="2024-10-21T00:00:00"/>
    <x v="0"/>
    <x v="9"/>
    <m/>
    <n v="292"/>
    <n v="3504"/>
    <s v="3/8"/>
    <n v="0"/>
    <n v="57"/>
    <n v="2322"/>
    <m/>
    <n v="1594"/>
    <m/>
    <n v="728"/>
    <m/>
    <n v="2000"/>
    <n v="52"/>
    <n v="0"/>
    <n v="0"/>
    <n v="0"/>
    <s v="2-7"/>
    <m/>
    <n v="8"/>
    <n v="5.2"/>
    <n v="0.10833333333333334"/>
    <n v="0.65"/>
    <m/>
    <m/>
    <n v="10"/>
    <n v="0"/>
    <n v="446.53846153846155"/>
    <m/>
    <n v="140"/>
    <n v="0"/>
    <n v="0"/>
    <n v="0.20776255707762556"/>
    <n v="0"/>
    <n v="0.20776255707762556"/>
    <n v="0"/>
    <n v="384.61538461538458"/>
    <n v="0"/>
    <n v="0"/>
    <n v="4374"/>
    <n v="841.15384615384619"/>
    <s v="scheduled resplicce on return stacker  1- 304 code"/>
  </r>
  <r>
    <d v="2024-10-24T00:00:00"/>
    <x v="0"/>
    <x v="9"/>
    <m/>
    <n v="446"/>
    <n v="5352"/>
    <s v="3/8"/>
    <n v="0"/>
    <n v="57"/>
    <n v="3724"/>
    <m/>
    <n v="2543"/>
    <m/>
    <n v="1181"/>
    <m/>
    <n v="1900"/>
    <n v="95"/>
    <n v="0"/>
    <n v="0"/>
    <n v="0"/>
    <s v="2-7"/>
    <m/>
    <n v="12"/>
    <n v="9.5"/>
    <n v="0.13194444444444445"/>
    <n v="0.79166666666666663"/>
    <m/>
    <m/>
    <n v="10"/>
    <n v="0"/>
    <n v="392"/>
    <m/>
    <n v="124.31578947368421"/>
    <n v="0"/>
    <n v="0"/>
    <n v="0.22066517189835574"/>
    <n v="0"/>
    <n v="0.22066517189835574"/>
    <n v="0"/>
    <n v="200"/>
    <n v="0"/>
    <n v="0"/>
    <n v="5719"/>
    <n v="602"/>
    <s v="1-988 down feeding with 1 loader worked on screening tail pulley"/>
  </r>
  <r>
    <d v="2024-10-25T00:00:00"/>
    <x v="0"/>
    <x v="9"/>
    <m/>
    <n v="463"/>
    <n v="5556"/>
    <s v="3/8"/>
    <n v="0"/>
    <n v="57"/>
    <n v="3485"/>
    <m/>
    <n v="2464"/>
    <m/>
    <n v="1021"/>
    <m/>
    <n v="1780"/>
    <n v="89"/>
    <n v="0"/>
    <n v="0"/>
    <n v="0"/>
    <s v="2-7"/>
    <m/>
    <n v="12"/>
    <n v="8.9"/>
    <n v="0.12361111111111112"/>
    <n v="0.7416666666666667"/>
    <m/>
    <m/>
    <n v="10"/>
    <n v="0"/>
    <n v="391.57303370786514"/>
    <m/>
    <n v="114.71910112359551"/>
    <n v="0"/>
    <n v="0"/>
    <n v="0.1837652987760979"/>
    <n v="0"/>
    <n v="0.1837652987760979"/>
    <n v="0"/>
    <n v="200"/>
    <n v="0"/>
    <n v="0"/>
    <n v="5354"/>
    <n v="601.57303370786508"/>
    <s v="Stockpile 3 - 304 codes 1 loader most the day"/>
  </r>
  <r>
    <d v="2024-10-29T00:00:00"/>
    <x v="0"/>
    <x v="9"/>
    <m/>
    <n v="293"/>
    <n v="3516"/>
    <s v="3/8"/>
    <n v="0"/>
    <n v="57"/>
    <n v="2256"/>
    <m/>
    <n v="1602"/>
    <m/>
    <n v="654"/>
    <m/>
    <n v="1140"/>
    <n v="57"/>
    <n v="0"/>
    <n v="0"/>
    <n v="0"/>
    <s v="2-7"/>
    <m/>
    <n v="6"/>
    <n v="5.7"/>
    <n v="0.15833333333333333"/>
    <n v="0.95000000000000007"/>
    <m/>
    <m/>
    <n v="10"/>
    <n v="0"/>
    <n v="395.78947368421052"/>
    <m/>
    <n v="114.73684210526315"/>
    <n v="0"/>
    <n v="0"/>
    <n v="0.18600682593856654"/>
    <n v="0"/>
    <n v="0.18600682593856654"/>
    <n v="0"/>
    <n v="200"/>
    <n v="0"/>
    <n v="0"/>
    <n v="3453"/>
    <n v="605.78947368421052"/>
    <s v="Firwt part of the day used rinsing they started crushing at 1130"/>
  </r>
  <r>
    <d v="2024-10-30T00:00:00"/>
    <x v="0"/>
    <x v="9"/>
    <m/>
    <n v="492"/>
    <n v="5904"/>
    <s v="3/8"/>
    <n v="0"/>
    <n v="57"/>
    <n v="3786"/>
    <m/>
    <n v="2675"/>
    <m/>
    <n v="1111"/>
    <m/>
    <n v="1900"/>
    <n v="95"/>
    <n v="0"/>
    <n v="0"/>
    <n v="0"/>
    <s v="2-7"/>
    <m/>
    <n v="10.5"/>
    <n v="9.5"/>
    <n v="0.15079365079365079"/>
    <n v="0.90476190476190477"/>
    <m/>
    <m/>
    <n v="10"/>
    <n v="0"/>
    <n v="398.5263157894737"/>
    <m/>
    <n v="116.94736842105263"/>
    <n v="0"/>
    <n v="0"/>
    <n v="0.18817750677506775"/>
    <n v="0"/>
    <n v="0.18817750677506775"/>
    <n v="0"/>
    <n v="200"/>
    <n v="0"/>
    <n v="0"/>
    <n v="5781"/>
    <n v="608.52631578947376"/>
    <s v="2- 304 Codes for big rocks and down 45 minutes for patching a hole in 57 chute          54Htz"/>
  </r>
  <r>
    <d v="2024-10-31T00:00:00"/>
    <x v="0"/>
    <x v="9"/>
    <m/>
    <n v="370"/>
    <n v="4440"/>
    <s v="3/8"/>
    <n v="0"/>
    <n v="57"/>
    <n v="2935"/>
    <m/>
    <n v="2042"/>
    <m/>
    <n v="893"/>
    <m/>
    <n v="1450"/>
    <n v="73"/>
    <n v="0"/>
    <n v="0"/>
    <n v="0"/>
    <s v="2-7"/>
    <m/>
    <n v="7.75"/>
    <n v="7.25"/>
    <n v="0.15591397849462366"/>
    <n v="0.93548387096774188"/>
    <m/>
    <m/>
    <n v="10.068965517241379"/>
    <n v="0"/>
    <n v="404.82758620689657"/>
    <m/>
    <n v="123.17241379310344"/>
    <n v="0"/>
    <n v="0"/>
    <n v="0.20112612612612613"/>
    <n v="0"/>
    <n v="0.20112612612612613"/>
    <n v="0"/>
    <n v="200"/>
    <n v="0"/>
    <n v="0"/>
    <n v="4458"/>
    <n v="614.89655172413791"/>
    <s v="Started late for stock piling and cleaning under crusher along with 3 304 codes"/>
  </r>
  <r>
    <d v="2024-11-06T00:00:00"/>
    <x v="0"/>
    <x v="10"/>
    <m/>
    <n v="186"/>
    <n v="2232"/>
    <s v="3/8"/>
    <n v="0"/>
    <n v="57"/>
    <n v="1120"/>
    <m/>
    <n v="1120"/>
    <m/>
    <n v="0"/>
    <m/>
    <n v="740"/>
    <n v="0"/>
    <n v="946"/>
    <n v="0"/>
    <n v="0"/>
    <s v="2-7"/>
    <m/>
    <n v="10"/>
    <n v="3.7"/>
    <n v="6.1666666666666668E-2"/>
    <n v="0.37"/>
    <m/>
    <m/>
    <n v="0"/>
    <n v="0"/>
    <n v="302.70270270270271"/>
    <m/>
    <m/>
    <n v="0"/>
    <n v="0"/>
    <n v="0"/>
    <n v="0"/>
    <n v="0"/>
    <n v="255.67567567567568"/>
    <n v="200"/>
    <n v="0"/>
    <n v="0"/>
    <n v="2806"/>
    <n v="758.37837837837833"/>
    <s v="Material wet mad Crusher run Kleemen wouldn’t run selector switch flipped "/>
  </r>
  <r>
    <d v="2024-11-07T00:00:00"/>
    <x v="0"/>
    <x v="10"/>
    <m/>
    <n v="516"/>
    <n v="6192"/>
    <s v="3/8"/>
    <n v="0"/>
    <n v="57"/>
    <n v="2847"/>
    <m/>
    <n v="2847"/>
    <m/>
    <n v="0"/>
    <m/>
    <n v="1715"/>
    <n v="0"/>
    <n v="2255"/>
    <n v="0"/>
    <n v="0"/>
    <s v="2-7"/>
    <m/>
    <n v="12"/>
    <n v="9.8000000000000007"/>
    <n v="0.13611111111111113"/>
    <n v="0.81666666666666676"/>
    <m/>
    <m/>
    <n v="0"/>
    <n v="0"/>
    <n v="290.51020408163265"/>
    <m/>
    <m/>
    <n v="0"/>
    <n v="0"/>
    <n v="0"/>
    <n v="0"/>
    <n v="0"/>
    <n v="230.10204081632651"/>
    <n v="175"/>
    <n v="0"/>
    <n v="0"/>
    <n v="6817"/>
    <n v="695.61224489795916"/>
    <s v="Material wet ran Crushger run   2-304 code 1 big rock"/>
  </r>
  <r>
    <d v="2024-11-08T00:00:00"/>
    <x v="0"/>
    <x v="10"/>
    <m/>
    <n v="480"/>
    <n v="5760"/>
    <s v="3/8"/>
    <n v="0"/>
    <n v="57"/>
    <n v="2766"/>
    <m/>
    <n v="2766"/>
    <m/>
    <n v="0"/>
    <m/>
    <n v="1715"/>
    <n v="0"/>
    <n v="2403"/>
    <n v="0"/>
    <n v="0"/>
    <s v="2-7"/>
    <m/>
    <n v="12"/>
    <n v="9.6"/>
    <n v="0.13333333333333333"/>
    <n v="0.79999999999999993"/>
    <m/>
    <m/>
    <n v="0"/>
    <n v="0"/>
    <n v="288.125"/>
    <m/>
    <m/>
    <n v="0"/>
    <n v="0"/>
    <n v="0"/>
    <n v="0"/>
    <n v="0"/>
    <n v="250.3125"/>
    <n v="178.64583333333334"/>
    <n v="0"/>
    <n v="0"/>
    <n v="6884"/>
    <n v="717.08333333333337"/>
    <s v="Big Rock 20 mimnutes "/>
  </r>
  <r>
    <d v="2024-11-11T00:00:00"/>
    <x v="0"/>
    <x v="10"/>
    <m/>
    <n v="457"/>
    <n v="5484"/>
    <s v="3/8"/>
    <n v="0"/>
    <n v="57"/>
    <n v="2537"/>
    <m/>
    <n v="2537"/>
    <m/>
    <n v="0"/>
    <m/>
    <n v="1697"/>
    <n v="0"/>
    <n v="2453"/>
    <n v="0"/>
    <n v="0"/>
    <s v="2-7"/>
    <m/>
    <n v="12"/>
    <n v="9.6999999999999993"/>
    <n v="0.13472222222222222"/>
    <n v="0.80833333333333324"/>
    <m/>
    <m/>
    <n v="0"/>
    <n v="0"/>
    <n v="261.54639175257734"/>
    <m/>
    <m/>
    <n v="0"/>
    <n v="0"/>
    <n v="0"/>
    <n v="0"/>
    <n v="0"/>
    <n v="252.88659793814435"/>
    <n v="174.94845360824743"/>
    <n v="0"/>
    <n v="0"/>
    <n v="6687"/>
    <n v="689.38144329896909"/>
    <m/>
  </r>
  <r>
    <d v="2024-11-12T00:00:00"/>
    <x v="0"/>
    <x v="10"/>
    <m/>
    <n v="508"/>
    <n v="6096"/>
    <s v="3/8"/>
    <n v="0"/>
    <n v="57"/>
    <n v="3804"/>
    <m/>
    <n v="2691"/>
    <m/>
    <n v="1113"/>
    <m/>
    <n v="2080"/>
    <n v="70"/>
    <n v="896"/>
    <n v="0"/>
    <n v="0"/>
    <s v="2-7"/>
    <m/>
    <n v="12"/>
    <n v="10.4"/>
    <n v="0.14444444444444446"/>
    <n v="0.8666666666666667"/>
    <m/>
    <m/>
    <n v="6.7307692307692308"/>
    <n v="0"/>
    <n v="365.76923076923077"/>
    <m/>
    <n v="107.01923076923076"/>
    <n v="0"/>
    <n v="0"/>
    <n v="0.18257874015748032"/>
    <n v="0"/>
    <n v="0.18257874015748032"/>
    <n v="86.153846153846146"/>
    <n v="200"/>
    <n v="0"/>
    <n v="0"/>
    <n v="6850"/>
    <n v="658.65384615384619"/>
    <s v="Produced crusher run till 10am swithed back to 57"/>
  </r>
  <r>
    <d v="2024-12-31T00:00:00"/>
    <x v="0"/>
    <x v="11"/>
    <m/>
    <n v="319"/>
    <n v="3828"/>
    <s v="3/8"/>
    <n v="0"/>
    <n v="57"/>
    <n v="2249"/>
    <m/>
    <n v="1099"/>
    <n v="1150"/>
    <n v="0"/>
    <m/>
    <n v="650"/>
    <n v="0"/>
    <n v="1411"/>
    <n v="0"/>
    <n v="0"/>
    <s v="2-7"/>
    <m/>
    <n v="10"/>
    <n v="3.25"/>
    <n v="5.4166666666666669E-2"/>
    <n v="0.32500000000000001"/>
    <m/>
    <m/>
    <n v="0"/>
    <n v="0"/>
    <n v="692"/>
    <n v="353.84615384615387"/>
    <m/>
    <n v="0"/>
    <n v="0.30041797283176591"/>
    <n v="0"/>
    <n v="0"/>
    <n v="0.30041797283176591"/>
    <n v="434.15384615384613"/>
    <n v="200"/>
    <n v="0"/>
    <n v="0"/>
    <n v="4310"/>
    <n v="1326.1538461538462"/>
    <s v=" Fisrt real day running after equipment install "/>
  </r>
  <r>
    <d v="2025-01-03T00:00:00"/>
    <x v="1"/>
    <x v="0"/>
    <m/>
    <n v="537"/>
    <n v="6444"/>
    <n v="920.57142857142856"/>
    <s v="3/8"/>
    <n v="0"/>
    <n v="57"/>
    <m/>
    <n v="3608"/>
    <n v="1686"/>
    <n v="1922"/>
    <m/>
    <n v="1400"/>
    <n v="0"/>
    <n v="2208"/>
    <n v="0"/>
    <n v="0"/>
    <s v="2-7"/>
    <s v="2-4"/>
    <n v="10"/>
    <n v="7"/>
    <n v="0.82352941176470584"/>
    <n v="0.7"/>
    <m/>
    <m/>
    <n v="0"/>
    <n v="0"/>
    <n v="515.42857142857144"/>
    <n v="240.85714285714286"/>
    <n v="274.57142857142856"/>
    <n v="0"/>
    <n v="0.26163873370577279"/>
    <n v="0.29826194909993792"/>
    <n v="0"/>
    <n v="0.5599006828057107"/>
    <n v="315.42857142857144"/>
    <n v="200"/>
    <n v="0"/>
    <n v="0"/>
    <n v="7216"/>
    <n v="1030.8571428571429"/>
    <s v="Main breaker triped two times at 470 amps"/>
  </r>
  <r>
    <d v="2025-01-03T00:00:00"/>
    <x v="1"/>
    <x v="0"/>
    <m/>
    <n v="537"/>
    <n v="6444"/>
    <s v="3/8"/>
    <n v="0"/>
    <n v="57"/>
    <n v="3608"/>
    <m/>
    <n v="1686"/>
    <n v="1922"/>
    <n v="0"/>
    <m/>
    <n v="1400"/>
    <n v="0"/>
    <n v="2208"/>
    <n v="0"/>
    <n v="0"/>
    <s v="2-7"/>
    <s v="2-4"/>
    <n v="10"/>
    <n v="7"/>
    <n v="0.11666666666666667"/>
    <n v="0.7"/>
    <m/>
    <m/>
    <n v="0"/>
    <n v="0"/>
    <n v="515.42857142857144"/>
    <n v="274.57142857142856"/>
    <m/>
    <n v="0"/>
    <n v="0.29826194909993792"/>
    <n v="0"/>
    <n v="0"/>
    <n v="0.29826194909993792"/>
    <n v="315.42857142857144"/>
    <n v="200"/>
    <n v="0"/>
    <n v="0"/>
    <n v="7216"/>
    <n v="1030.8571428571429"/>
    <s v="Main breaker triped two times at 470 amps"/>
  </r>
  <r>
    <d v="2025-01-04T00:00:00"/>
    <x v="1"/>
    <x v="0"/>
    <m/>
    <n v="307"/>
    <n v="3684"/>
    <n v="944.61538461538464"/>
    <s v="3/8"/>
    <n v="0"/>
    <n v="57"/>
    <m/>
    <n v="1991"/>
    <n v="932"/>
    <n v="1059"/>
    <m/>
    <n v="780"/>
    <n v="0"/>
    <n v="780"/>
    <n v="0"/>
    <n v="0"/>
    <s v="2-7"/>
    <s v="2-4"/>
    <n v="4"/>
    <n v="3.9"/>
    <n v="1.1470588235294117"/>
    <n v="0.97499999999999998"/>
    <m/>
    <m/>
    <n v="0"/>
    <n v="0"/>
    <n v="510.5128205128205"/>
    <n v="238.97435897435898"/>
    <n v="271.53846153846155"/>
    <n v="0"/>
    <n v="0.25298588490770901"/>
    <n v="0.28745928338762217"/>
    <n v="0"/>
    <n v="0.54044516829533118"/>
    <n v="200"/>
    <n v="200"/>
    <n v="0"/>
    <n v="0"/>
    <n v="3551"/>
    <n v="910.51282051282055"/>
    <s v="Rinsed the rest of thhe day"/>
  </r>
  <r>
    <d v="2025-01-04T00:00:00"/>
    <x v="1"/>
    <x v="0"/>
    <m/>
    <n v="307"/>
    <n v="3684"/>
    <s v="3/8"/>
    <n v="0"/>
    <n v="57"/>
    <n v="1991"/>
    <m/>
    <n v="932"/>
    <n v="1059"/>
    <n v="0"/>
    <m/>
    <n v="780"/>
    <n v="0"/>
    <n v="780"/>
    <n v="0"/>
    <n v="0"/>
    <s v="2-7"/>
    <s v="2-4"/>
    <n v="4"/>
    <n v="3.9"/>
    <n v="0.16250000000000001"/>
    <n v="0.97499999999999998"/>
    <m/>
    <m/>
    <n v="0"/>
    <n v="0"/>
    <n v="510.5128205128205"/>
    <n v="271.53846153846155"/>
    <m/>
    <n v="0"/>
    <n v="0.28745928338762217"/>
    <n v="0"/>
    <n v="0"/>
    <n v="0.28745928338762217"/>
    <n v="200"/>
    <n v="200"/>
    <n v="0"/>
    <n v="0"/>
    <n v="3551"/>
    <n v="910.51282051282055"/>
    <s v="Rinsed the rest of thhe day"/>
  </r>
  <r>
    <d v="2025-01-05T00:00:00"/>
    <x v="1"/>
    <x v="0"/>
    <m/>
    <m/>
    <m/>
    <m/>
    <m/>
    <m/>
    <m/>
    <m/>
    <m/>
    <m/>
    <m/>
    <m/>
    <m/>
    <m/>
    <m/>
    <m/>
    <m/>
    <m/>
    <m/>
    <n v="12"/>
    <n v="0"/>
    <m/>
    <n v="0"/>
    <m/>
    <m/>
    <m/>
    <m/>
    <m/>
    <m/>
    <m/>
    <s v=""/>
    <m/>
    <m/>
    <m/>
    <m/>
    <m/>
    <m/>
    <m/>
    <m/>
    <m/>
    <m/>
    <m/>
  </r>
  <r>
    <d v="2025-01-07T00:00:00"/>
    <x v="1"/>
    <x v="0"/>
    <m/>
    <n v="180"/>
    <n v="2160"/>
    <n v="1080"/>
    <s v="3/8"/>
    <n v="0"/>
    <n v="57"/>
    <m/>
    <n v="1111"/>
    <n v="528"/>
    <n v="583"/>
    <m/>
    <n v="400"/>
    <n v="0"/>
    <n v="786"/>
    <n v="0"/>
    <n v="0"/>
    <s v="2-7"/>
    <s v="2-4"/>
    <n v="2.5"/>
    <n v="2"/>
    <n v="0.94117647058823528"/>
    <n v="0.8"/>
    <m/>
    <m/>
    <n v="0"/>
    <n v="0"/>
    <n v="555.5"/>
    <n v="264"/>
    <n v="291.5"/>
    <n v="0"/>
    <n v="0.24444444444444444"/>
    <n v="0.26990740740740743"/>
    <n v="0"/>
    <n v="0.51435185185185184"/>
    <n v="393"/>
    <n v="200"/>
    <n v="0"/>
    <n v="0"/>
    <n v="2297"/>
    <n v="1148.5"/>
    <m/>
  </r>
  <r>
    <d v="2025-01-07T00:00:00"/>
    <x v="1"/>
    <x v="0"/>
    <m/>
    <n v="180"/>
    <n v="2160"/>
    <s v="3/8"/>
    <n v="0"/>
    <n v="57"/>
    <n v="1111"/>
    <m/>
    <n v="528"/>
    <n v="583"/>
    <n v="0"/>
    <m/>
    <n v="400"/>
    <n v="0"/>
    <n v="786"/>
    <n v="0"/>
    <n v="0"/>
    <s v="2-7"/>
    <s v="2-4"/>
    <n v="2.5"/>
    <n v="2"/>
    <n v="0.13333333333333333"/>
    <n v="0.8"/>
    <m/>
    <m/>
    <n v="0"/>
    <n v="0"/>
    <n v="555.5"/>
    <n v="291.5"/>
    <m/>
    <n v="0"/>
    <n v="0.26990740740740743"/>
    <n v="0"/>
    <n v="0"/>
    <n v="0.26990740740740743"/>
    <n v="393"/>
    <n v="200"/>
    <n v="0"/>
    <n v="0"/>
    <n v="2297"/>
    <n v="1148.5"/>
    <m/>
  </r>
  <r>
    <d v="2025-01-08T00:00:00"/>
    <x v="1"/>
    <x v="0"/>
    <m/>
    <n v="314"/>
    <n v="3768"/>
    <n v="724.61538461538464"/>
    <s v="3/8"/>
    <n v="0"/>
    <n v="57"/>
    <m/>
    <n v="2561"/>
    <n v="1271"/>
    <n v="1290"/>
    <m/>
    <n v="1000"/>
    <n v="0"/>
    <n v="1300"/>
    <n v="0"/>
    <n v="0"/>
    <s v="2-7"/>
    <s v="2-4"/>
    <n v="8"/>
    <n v="5.2"/>
    <n v="0.76470588235294124"/>
    <n v="0.65"/>
    <m/>
    <m/>
    <n v="0"/>
    <n v="0"/>
    <n v="492.5"/>
    <n v="244.42307692307691"/>
    <n v="248.07692307692307"/>
    <n v="0"/>
    <n v="0.33731422505307856"/>
    <n v="0.34235668789808915"/>
    <n v="0"/>
    <n v="0.67967091295116777"/>
    <n v="250"/>
    <n v="192.30769230769229"/>
    <n v="0"/>
    <n v="0"/>
    <n v="4861"/>
    <n v="934.80769230769226"/>
    <s v="Clean ice off belts "/>
  </r>
  <r>
    <d v="2025-01-08T00:00:00"/>
    <x v="1"/>
    <x v="0"/>
    <m/>
    <n v="314"/>
    <n v="3768"/>
    <s v="3/8"/>
    <n v="0"/>
    <n v="57"/>
    <n v="2561"/>
    <m/>
    <n v="1271"/>
    <n v="1290"/>
    <n v="0"/>
    <m/>
    <n v="1000"/>
    <n v="0"/>
    <n v="1300"/>
    <n v="0"/>
    <n v="0"/>
    <s v="2-7"/>
    <s v="2-4"/>
    <n v="8"/>
    <n v="5.2"/>
    <n v="0.10833333333333334"/>
    <n v="0.65"/>
    <m/>
    <m/>
    <n v="0"/>
    <n v="0"/>
    <n v="492.5"/>
    <n v="248.07692307692307"/>
    <m/>
    <n v="0"/>
    <n v="0.34235668789808915"/>
    <n v="0"/>
    <n v="0"/>
    <n v="0.34235668789808915"/>
    <n v="250"/>
    <n v="192.30769230769229"/>
    <n v="0"/>
    <n v="0"/>
    <n v="4861"/>
    <n v="934.80769230769226"/>
    <s v="Clean ice off belts "/>
  </r>
  <r>
    <d v="2025-01-09T00:00:00"/>
    <x v="1"/>
    <x v="0"/>
    <m/>
    <m/>
    <m/>
    <m/>
    <m/>
    <m/>
    <m/>
    <m/>
    <m/>
    <m/>
    <m/>
    <m/>
    <m/>
    <m/>
    <m/>
    <m/>
    <m/>
    <m/>
    <m/>
    <n v="12"/>
    <n v="0"/>
    <m/>
    <n v="0"/>
    <m/>
    <m/>
    <m/>
    <m/>
    <m/>
    <m/>
    <m/>
    <s v=""/>
    <m/>
    <m/>
    <m/>
    <m/>
    <m/>
    <m/>
    <m/>
    <m/>
    <m/>
    <m/>
    <m/>
  </r>
  <r>
    <d v="2025-01-10T00:00:00"/>
    <x v="1"/>
    <x v="0"/>
    <m/>
    <m/>
    <m/>
    <m/>
    <m/>
    <m/>
    <m/>
    <m/>
    <m/>
    <m/>
    <m/>
    <m/>
    <m/>
    <m/>
    <m/>
    <m/>
    <m/>
    <m/>
    <m/>
    <n v="12"/>
    <n v="0"/>
    <m/>
    <n v="0"/>
    <m/>
    <m/>
    <m/>
    <m/>
    <m/>
    <m/>
    <m/>
    <s v=""/>
    <m/>
    <m/>
    <m/>
    <m/>
    <m/>
    <m/>
    <m/>
    <m/>
    <m/>
    <m/>
    <m/>
  </r>
  <r>
    <d v="2025-01-11T00:00:00"/>
    <x v="1"/>
    <x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1-14T00:00:00"/>
    <x v="1"/>
    <x v="0"/>
    <m/>
    <n v="146"/>
    <n v="1752"/>
    <n v="876"/>
    <s v="3/8"/>
    <n v="0"/>
    <n v="57"/>
    <m/>
    <n v="1170"/>
    <n v="548"/>
    <n v="622"/>
    <m/>
    <n v="400"/>
    <n v="0"/>
    <n v="600"/>
    <n v="0"/>
    <n v="0"/>
    <s v="2-7"/>
    <s v="2-4"/>
    <n v="5"/>
    <n v="2"/>
    <n v="0.47058823529411764"/>
    <n v="0.4"/>
    <m/>
    <m/>
    <n v="0"/>
    <n v="0"/>
    <n v="585"/>
    <n v="274"/>
    <n v="311"/>
    <n v="0"/>
    <n v="0.31278538812785389"/>
    <n v="0.3550228310502283"/>
    <n v="0"/>
    <n v="0.6678082191780822"/>
    <n v="300"/>
    <n v="200"/>
    <n v="0"/>
    <n v="0"/>
    <n v="2170"/>
    <n v="1085"/>
    <s v="Main 600 amp breaker tripped "/>
  </r>
  <r>
    <d v="2025-01-14T00:00:00"/>
    <x v="1"/>
    <x v="0"/>
    <m/>
    <n v="146"/>
    <n v="1752"/>
    <s v="3/8"/>
    <n v="0"/>
    <n v="57"/>
    <n v="1170"/>
    <m/>
    <n v="548"/>
    <n v="622"/>
    <n v="0"/>
    <m/>
    <n v="400"/>
    <n v="0"/>
    <n v="600"/>
    <n v="0"/>
    <n v="0"/>
    <s v="2-7"/>
    <s v="2-4"/>
    <n v="5"/>
    <n v="2"/>
    <n v="6.6666666666666666E-2"/>
    <n v="0.4"/>
    <m/>
    <m/>
    <n v="0"/>
    <n v="0"/>
    <n v="585"/>
    <n v="311"/>
    <m/>
    <n v="0"/>
    <n v="0.3550228310502283"/>
    <n v="0"/>
    <n v="0"/>
    <n v="0.3550228310502283"/>
    <n v="300"/>
    <n v="200"/>
    <n v="0"/>
    <n v="0"/>
    <n v="2170"/>
    <n v="1085"/>
    <s v="Main 600 amp breaker tripped "/>
  </r>
  <r>
    <d v="2025-01-15T00:00:00"/>
    <x v="1"/>
    <x v="0"/>
    <m/>
    <n v="545"/>
    <n v="7357.5"/>
    <n v="1036.2676056338028"/>
    <s v="3/8"/>
    <n v="0"/>
    <n v="57"/>
    <m/>
    <n v="4689"/>
    <n v="2251"/>
    <n v="2438"/>
    <m/>
    <n v="2698"/>
    <n v="0"/>
    <n v="0"/>
    <n v="0"/>
    <n v="0"/>
    <s v="2-7"/>
    <s v="2-4"/>
    <n v="9"/>
    <n v="7.1"/>
    <n v="0.92810457516339873"/>
    <n v="0.78888888888888886"/>
    <m/>
    <m/>
    <n v="0"/>
    <n v="0"/>
    <n v="660.42253521126759"/>
    <n v="317.04225352112678"/>
    <n v="343.38028169014086"/>
    <n v="0"/>
    <n v="0.30594631328576283"/>
    <n v="0.33136255521576624"/>
    <n v="0"/>
    <n v="0.63730886850152912"/>
    <n v="0"/>
    <n v="380"/>
    <n v="0"/>
    <n v="0"/>
    <n v="7387"/>
    <n v="1040.4225352112676"/>
    <s v="main breaker tripped 1 304 code "/>
  </r>
  <r>
    <d v="2025-01-15T00:00:00"/>
    <x v="1"/>
    <x v="0"/>
    <m/>
    <n v="545"/>
    <n v="7357.5"/>
    <s v="3/8"/>
    <n v="0"/>
    <n v="57"/>
    <n v="4689"/>
    <m/>
    <n v="2251"/>
    <n v="2438"/>
    <n v="0"/>
    <m/>
    <n v="2698"/>
    <n v="0"/>
    <n v="0"/>
    <n v="0"/>
    <n v="0"/>
    <s v="2-7"/>
    <s v="2-4"/>
    <n v="9"/>
    <n v="7.1"/>
    <n v="0.13148148148148148"/>
    <n v="0.78888888888888886"/>
    <m/>
    <m/>
    <n v="0"/>
    <n v="0"/>
    <n v="660.42253521126759"/>
    <n v="343.38028169014086"/>
    <m/>
    <n v="0"/>
    <n v="0.33136255521576624"/>
    <n v="0"/>
    <n v="0"/>
    <n v="0.33136255521576624"/>
    <n v="0"/>
    <n v="380"/>
    <n v="0"/>
    <n v="0"/>
    <n v="7387"/>
    <n v="1040.4225352112676"/>
    <s v="main breaker tripped 1 304 code "/>
  </r>
  <r>
    <d v="2025-01-16T00:00:00"/>
    <x v="1"/>
    <x v="0"/>
    <m/>
    <n v="30"/>
    <n v="405"/>
    <n v="1012.5"/>
    <s v="3/8"/>
    <n v="0"/>
    <n v="57"/>
    <m/>
    <n v="251"/>
    <n v="124"/>
    <n v="127"/>
    <m/>
    <n v="152"/>
    <n v="0"/>
    <n v="0"/>
    <n v="0"/>
    <n v="0"/>
    <s v="2-7"/>
    <s v="2-4"/>
    <n v="1"/>
    <n v="0.4"/>
    <n v="0.4705882352941177"/>
    <n v="0.4"/>
    <m/>
    <m/>
    <n v="0"/>
    <n v="0"/>
    <n v="627.5"/>
    <n v="310"/>
    <n v="317.5"/>
    <n v="0"/>
    <n v="0.30617283950617286"/>
    <n v="0.31358024691358027"/>
    <n v="0"/>
    <n v="0.61975308641975313"/>
    <n v="0"/>
    <n v="380"/>
    <n v="0"/>
    <n v="0"/>
    <n v="403"/>
    <n v="1007.5"/>
    <s v="Drill bit went through HIS crusher"/>
  </r>
  <r>
    <d v="2025-01-16T00:00:00"/>
    <x v="1"/>
    <x v="0"/>
    <m/>
    <n v="30"/>
    <n v="405"/>
    <s v="3/8"/>
    <n v="0"/>
    <n v="57"/>
    <n v="251"/>
    <m/>
    <n v="124"/>
    <n v="127"/>
    <n v="66"/>
    <m/>
    <n v="152"/>
    <n v="0"/>
    <n v="0"/>
    <n v="0"/>
    <n v="0"/>
    <s v="2-7"/>
    <s v="2-4"/>
    <n v="1"/>
    <n v="0.4"/>
    <n v="6.6666666666666666E-2"/>
    <n v="0.4"/>
    <m/>
    <m/>
    <n v="0"/>
    <n v="0"/>
    <n v="627.5"/>
    <n v="317.5"/>
    <n v="165"/>
    <n v="0"/>
    <n v="0.31358024691358027"/>
    <n v="0.16296296296296298"/>
    <n v="0"/>
    <n v="0.47654320987654325"/>
    <n v="0"/>
    <n v="380"/>
    <n v="0"/>
    <n v="0"/>
    <n v="403"/>
    <n v="1007.5"/>
    <s v="Drill bit went through HIS crusher"/>
  </r>
  <r>
    <d v="2025-01-17T00:00:00"/>
    <x v="1"/>
    <x v="0"/>
    <m/>
    <n v="726"/>
    <n v="9801"/>
    <n v="1113.75"/>
    <s v="3/8"/>
    <n v="0"/>
    <n v="57"/>
    <m/>
    <n v="6200"/>
    <n v="3162"/>
    <n v="3038"/>
    <m/>
    <n v="3344"/>
    <n v="0"/>
    <n v="0"/>
    <n v="0"/>
    <n v="0"/>
    <s v="1.7-7"/>
    <s v="2-4"/>
    <n v="11"/>
    <n v="8.8000000000000007"/>
    <n v="0.94117647058823539"/>
    <n v="0.8"/>
    <m/>
    <m/>
    <n v="0"/>
    <n v="0"/>
    <n v="704.5454545454545"/>
    <n v="359.31818181818181"/>
    <n v="345.22727272727269"/>
    <n v="0"/>
    <n v="0.322620140801959"/>
    <n v="0.30996837057443116"/>
    <n v="0"/>
    <n v="0.63258851137639016"/>
    <n v="0"/>
    <n v="379.99999999999994"/>
    <n v="0"/>
    <n v="0"/>
    <n v="9544"/>
    <n v="1084.5454545454545"/>
    <s v="pinched lower curtain kleeman 5 304 codes"/>
  </r>
  <r>
    <d v="2025-01-17T00:00:00"/>
    <x v="1"/>
    <x v="0"/>
    <m/>
    <n v="726"/>
    <n v="9801"/>
    <s v="3/8"/>
    <n v="0"/>
    <n v="57"/>
    <n v="6200"/>
    <m/>
    <n v="3162"/>
    <n v="3038"/>
    <n v="1539"/>
    <m/>
    <n v="3344"/>
    <n v="0"/>
    <n v="0"/>
    <n v="0"/>
    <n v="0"/>
    <s v="1.7-7"/>
    <s v="2-4"/>
    <n v="11"/>
    <n v="8.8000000000000007"/>
    <n v="0.13333333333333333"/>
    <n v="0.8"/>
    <m/>
    <m/>
    <n v="0"/>
    <n v="0"/>
    <n v="704.5454545454545"/>
    <n v="345.22727272727269"/>
    <n v="174.88636363636363"/>
    <n v="0"/>
    <n v="0.30996837057443116"/>
    <n v="0.15702479338842976"/>
    <n v="0"/>
    <n v="0.46699316396286095"/>
    <n v="0"/>
    <n v="379.99999999999994"/>
    <n v="0"/>
    <n v="0"/>
    <n v="9544"/>
    <n v="1084.5454545454545"/>
    <s v="pinched lower curtain kleeman 5 304 codes"/>
  </r>
  <r>
    <d v="2025-01-18T00:00:00"/>
    <x v="1"/>
    <x v="0"/>
    <m/>
    <n v="556"/>
    <n v="7506"/>
    <n v="1057.1830985915494"/>
    <s v="3/8"/>
    <n v="0"/>
    <n v="57"/>
    <m/>
    <n v="4660"/>
    <n v="2351"/>
    <n v="2309"/>
    <m/>
    <n v="2298"/>
    <n v="0"/>
    <n v="600"/>
    <n v="0"/>
    <n v="0"/>
    <s v="1.7-7"/>
    <s v="2-4"/>
    <n v="10"/>
    <n v="7.1"/>
    <n v="0.83529411764705874"/>
    <n v="0.71"/>
    <m/>
    <m/>
    <n v="0"/>
    <n v="0"/>
    <n v="656.33802816901414"/>
    <n v="331.12676056338029"/>
    <n v="325.21126760563379"/>
    <n v="0"/>
    <n v="0.31321609379163334"/>
    <n v="0.30762057021049827"/>
    <n v="0"/>
    <n v="0.62083666400213167"/>
    <n v="84.507042253521135"/>
    <n v="323.66197183098592"/>
    <n v="0"/>
    <n v="0"/>
    <n v="7558"/>
    <n v="1064.5070422535211"/>
    <m/>
  </r>
  <r>
    <d v="2025-01-18T00:00:00"/>
    <x v="1"/>
    <x v="0"/>
    <m/>
    <n v="556"/>
    <n v="7506"/>
    <s v="3/8"/>
    <n v="0"/>
    <n v="57"/>
    <n v="4660"/>
    <m/>
    <n v="2351"/>
    <n v="2309"/>
    <n v="870"/>
    <m/>
    <n v="2298"/>
    <n v="0"/>
    <n v="600"/>
    <n v="0"/>
    <n v="0"/>
    <s v="1.7-7"/>
    <s v="2-4"/>
    <n v="10"/>
    <n v="7.1"/>
    <n v="0.11833333333333333"/>
    <n v="0.71"/>
    <m/>
    <m/>
    <n v="0"/>
    <n v="0"/>
    <n v="656.33802816901414"/>
    <n v="325.21126760563379"/>
    <n v="122.53521126760565"/>
    <n v="0"/>
    <n v="0.30762057021049827"/>
    <n v="0.11590727418065548"/>
    <n v="0"/>
    <n v="0.42352784439115376"/>
    <n v="84.507042253521135"/>
    <n v="323.66197183098592"/>
    <n v="0"/>
    <n v="0"/>
    <n v="7558"/>
    <n v="1064.5070422535211"/>
    <m/>
  </r>
  <r>
    <d v="2025-01-19T00:00:00"/>
    <x v="1"/>
    <x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1-20T00:00:00"/>
    <x v="1"/>
    <x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1-21T00:00:00"/>
    <x v="1"/>
    <x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1-23T00:00:00"/>
    <x v="1"/>
    <x v="0"/>
    <m/>
    <n v="427"/>
    <n v="5764.5"/>
    <n v="993.87931034482767"/>
    <s v="3/8"/>
    <n v="0"/>
    <n v="57"/>
    <m/>
    <n v="3404"/>
    <n v="1750"/>
    <n v="1654"/>
    <m/>
    <n v="1824"/>
    <n v="0"/>
    <n v="718"/>
    <n v="0"/>
    <n v="0"/>
    <s v="1.7-7"/>
    <s v="2-4"/>
    <n v="10"/>
    <n v="5.8"/>
    <n v="0.68235294117647061"/>
    <n v="0.57999999999999996"/>
    <m/>
    <m/>
    <n v="0"/>
    <n v="0"/>
    <n v="586.89655172413791"/>
    <n v="301.72413793103448"/>
    <n v="285.17241379310343"/>
    <n v="0"/>
    <n v="0.30358227079538552"/>
    <n v="0.28692861479746723"/>
    <n v="0"/>
    <n v="0.5905108855928527"/>
    <n v="123.79310344827587"/>
    <n v="314.48275862068965"/>
    <n v="0"/>
    <n v="0"/>
    <n v="5946"/>
    <n v="1025.1724137931035"/>
    <s v="cold waited to start plant  2 - 304 codes"/>
  </r>
  <r>
    <d v="2025-01-23T00:00:00"/>
    <x v="1"/>
    <x v="0"/>
    <m/>
    <n v="427"/>
    <n v="5764.5"/>
    <s v="3/8"/>
    <n v="0"/>
    <n v="57"/>
    <n v="3404"/>
    <m/>
    <n v="1750"/>
    <n v="1654"/>
    <n v="1060"/>
    <m/>
    <n v="1824"/>
    <n v="0"/>
    <n v="718"/>
    <n v="0"/>
    <n v="0"/>
    <s v="1.7-7"/>
    <s v="2-4"/>
    <n v="10"/>
    <n v="5.8"/>
    <n v="9.6666666666666665E-2"/>
    <n v="0.57999999999999996"/>
    <m/>
    <m/>
    <n v="0"/>
    <n v="0"/>
    <n v="586.89655172413791"/>
    <n v="285.17241379310343"/>
    <n v="182.75862068965517"/>
    <n v="0"/>
    <n v="0.28692861479746723"/>
    <n v="0.18388411831034782"/>
    <n v="0"/>
    <n v="0.47081273310781502"/>
    <n v="123.79310344827587"/>
    <n v="314.48275862068965"/>
    <n v="0"/>
    <n v="0"/>
    <n v="5946"/>
    <n v="1025.1724137931035"/>
    <s v="cold waited to start plant  2 - 304 codes"/>
  </r>
  <r>
    <d v="2025-01-24T00:00:00"/>
    <x v="1"/>
    <x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1-28T00:00:00"/>
    <x v="1"/>
    <x v="0"/>
    <m/>
    <n v="633"/>
    <n v="8545.5"/>
    <n v="1068.1875"/>
    <s v="3/8"/>
    <n v="0"/>
    <n v="57"/>
    <m/>
    <n v="5550"/>
    <n v="2951"/>
    <n v="2599"/>
    <m/>
    <n v="3040"/>
    <n v="0"/>
    <n v="0"/>
    <n v="0"/>
    <n v="0"/>
    <s v="1.75-7"/>
    <s v="2-4"/>
    <n v="12"/>
    <n v="8"/>
    <n v="0.78431372549019618"/>
    <n v="0.66666666666666663"/>
    <m/>
    <m/>
    <n v="0"/>
    <n v="0"/>
    <n v="693.75"/>
    <n v="368.875"/>
    <n v="324.875"/>
    <n v="0"/>
    <n v="0.34532795038324265"/>
    <n v="0.30413668012404188"/>
    <n v="0"/>
    <n v="0.64946463050728453"/>
    <n v="0"/>
    <n v="380"/>
    <n v="0"/>
    <n v="0"/>
    <n v="8590"/>
    <n v="1073.75"/>
    <s v=" seal out on prescreener"/>
  </r>
  <r>
    <d v="2025-01-28T00:00:00"/>
    <x v="1"/>
    <x v="0"/>
    <m/>
    <n v="633"/>
    <n v="8545.5"/>
    <s v="3/8"/>
    <n v="0"/>
    <n v="57"/>
    <n v="5550"/>
    <m/>
    <n v="2951"/>
    <n v="2599"/>
    <n v="1299"/>
    <m/>
    <n v="3040"/>
    <n v="0"/>
    <n v="0"/>
    <n v="0"/>
    <n v="0"/>
    <s v="1.75-7"/>
    <s v="2-4"/>
    <n v="12"/>
    <n v="8"/>
    <n v="0.1111111111111111"/>
    <n v="0.66666666666666663"/>
    <m/>
    <m/>
    <n v="0"/>
    <n v="0"/>
    <n v="693.75"/>
    <n v="324.875"/>
    <n v="162.375"/>
    <n v="0"/>
    <n v="0.30413668012404188"/>
    <n v="0.15200982973494823"/>
    <n v="0"/>
    <n v="0.45614650985899008"/>
    <n v="0"/>
    <n v="380"/>
    <n v="0"/>
    <n v="0"/>
    <n v="8590"/>
    <n v="1073.75"/>
    <s v=" seal out on prescreener"/>
  </r>
  <r>
    <d v="2025-01-29T00:00:00"/>
    <x v="1"/>
    <x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1-30T00:00:00"/>
    <x v="1"/>
    <x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1-31T00:00:00"/>
    <x v="1"/>
    <x v="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2-11T00:00:00"/>
    <x v="1"/>
    <x v="1"/>
    <m/>
    <n v="282"/>
    <n v="3807"/>
    <n v="1119.7058823529412"/>
    <s v="3/8"/>
    <n v="0"/>
    <n v="57"/>
    <m/>
    <n v="2728"/>
    <n v="1053"/>
    <n v="1675"/>
    <m/>
    <n v="1292"/>
    <n v="0"/>
    <n v="0"/>
    <n v="0"/>
    <n v="0"/>
    <s v="1-7"/>
    <s v="2-4"/>
    <n v="10"/>
    <n v="3.4"/>
    <n v="0.39999999999999997"/>
    <n v="0.33999999999999997"/>
    <m/>
    <m/>
    <n v="0"/>
    <n v="0"/>
    <n v="802.35294117647061"/>
    <n v="309.70588235294116"/>
    <n v="492.64705882352945"/>
    <n v="0"/>
    <n v="0.27659574468085107"/>
    <n v="0.43997898607827685"/>
    <n v="0"/>
    <n v="0.71657473075912792"/>
    <n v="0"/>
    <n v="380"/>
    <n v="0"/>
    <n v="0"/>
    <n v="4020"/>
    <n v="1182.3529411764707"/>
    <s v="Flip gate on spliter chute  resplice 57 # 2 stacker"/>
  </r>
  <r>
    <d v="2025-02-11T00:00:00"/>
    <x v="1"/>
    <x v="1"/>
    <m/>
    <n v="282"/>
    <n v="3807"/>
    <s v="3/8"/>
    <n v="0"/>
    <n v="57"/>
    <n v="2728"/>
    <m/>
    <n v="1053"/>
    <n v="1675"/>
    <n v="0"/>
    <m/>
    <n v="1292"/>
    <n v="0"/>
    <n v="0"/>
    <n v="0"/>
    <n v="0"/>
    <s v="1-7"/>
    <s v="2-4"/>
    <n v="10"/>
    <n v="3.4"/>
    <n v="5.6666666666666664E-2"/>
    <n v="0.33999999999999997"/>
    <m/>
    <m/>
    <n v="0"/>
    <n v="0"/>
    <n v="802.35294117647061"/>
    <n v="492.64705882352945"/>
    <m/>
    <n v="0"/>
    <n v="0.43997898607827685"/>
    <n v="0"/>
    <n v="0"/>
    <n v="0.43997898607827685"/>
    <n v="0"/>
    <n v="380"/>
    <n v="0"/>
    <n v="0"/>
    <n v="4020"/>
    <n v="1182.3529411764707"/>
    <s v="Flip gate on spliter chute  resplice 57 # 2 stacker"/>
  </r>
  <r>
    <d v="2025-02-12T00:00:00"/>
    <x v="1"/>
    <x v="1"/>
    <m/>
    <n v="502"/>
    <n v="6777"/>
    <n v="788.02325581395348"/>
    <s v="3/8"/>
    <n v="0"/>
    <n v="57"/>
    <m/>
    <n v="3340"/>
    <n v="1535"/>
    <n v="1805"/>
    <m/>
    <n v="3268"/>
    <n v="0"/>
    <n v="3268"/>
    <n v="0"/>
    <n v="0"/>
    <s v="1.7-7"/>
    <s v="1.3-3"/>
    <n v="10"/>
    <n v="8.6"/>
    <n v="1.0117647058823529"/>
    <n v="0.86"/>
    <m/>
    <m/>
    <n v="0"/>
    <n v="0"/>
    <n v="388.37209302325584"/>
    <n v="178.48837209302326"/>
    <n v="209.88372093023256"/>
    <n v="0"/>
    <n v="0.22650140180020659"/>
    <n v="0.26634203925040578"/>
    <n v="0"/>
    <n v="0.4928434410506124"/>
    <n v="380"/>
    <n v="380"/>
    <n v="0"/>
    <n v="0"/>
    <n v="9876"/>
    <n v="1148.3720930232557"/>
    <s v="Take up on screen feed 2"/>
  </r>
  <r>
    <d v="2025-02-12T00:00:00"/>
    <x v="1"/>
    <x v="1"/>
    <m/>
    <n v="502"/>
    <n v="6777"/>
    <s v="3/8"/>
    <n v="0"/>
    <n v="57"/>
    <n v="3340"/>
    <m/>
    <n v="1535"/>
    <n v="1805"/>
    <n v="0"/>
    <m/>
    <n v="3268"/>
    <n v="0"/>
    <n v="3268"/>
    <n v="0"/>
    <n v="0"/>
    <s v="1.7-7"/>
    <s v="1.3-3"/>
    <n v="10"/>
    <n v="8.6"/>
    <n v="0.14333333333333334"/>
    <n v="0.86"/>
    <m/>
    <m/>
    <n v="0"/>
    <n v="0"/>
    <n v="388.37209302325584"/>
    <n v="209.88372093023256"/>
    <m/>
    <n v="0"/>
    <n v="0.26634203925040578"/>
    <n v="0"/>
    <n v="0"/>
    <n v="0.26634203925040578"/>
    <n v="380"/>
    <n v="380"/>
    <n v="0"/>
    <n v="0"/>
    <n v="9876"/>
    <n v="1148.3720930232557"/>
    <s v="Take up on screen feed 2"/>
  </r>
  <r>
    <d v="2025-02-13T00:00:00"/>
    <x v="1"/>
    <x v="1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2-14T00:00:00"/>
    <x v="1"/>
    <x v="1"/>
    <m/>
    <n v="482"/>
    <n v="6507"/>
    <n v="1001.0769230769231"/>
    <s v="3/8"/>
    <n v="0"/>
    <n v="57"/>
    <m/>
    <n v="4018"/>
    <n v="1844"/>
    <n v="2174"/>
    <m/>
    <n v="2090"/>
    <n v="0"/>
    <n v="300"/>
    <n v="0"/>
    <n v="0"/>
    <s v="1.7-7"/>
    <s v="1.3-3"/>
    <n v="10"/>
    <n v="6.5"/>
    <n v="0.76470588235294112"/>
    <n v="0.65"/>
    <m/>
    <m/>
    <n v="0"/>
    <n v="0"/>
    <n v="618.15384615384619"/>
    <n v="283.69230769230768"/>
    <n v="334.46153846153845"/>
    <n v="0"/>
    <n v="0.28338712156139539"/>
    <n v="0.33410173659136316"/>
    <n v="0"/>
    <n v="0.61748885815275856"/>
    <n v="46.153846153846153"/>
    <n v="321.53846153846155"/>
    <n v="0"/>
    <n v="0"/>
    <n v="6408"/>
    <n v="985.84615384615381"/>
    <s v="cold waiting to warm up,"/>
  </r>
  <r>
    <d v="2025-02-14T00:00:00"/>
    <x v="1"/>
    <x v="1"/>
    <m/>
    <n v="482"/>
    <n v="6507"/>
    <s v="3/8"/>
    <n v="0"/>
    <n v="57"/>
    <n v="4018"/>
    <m/>
    <n v="1844"/>
    <n v="2174"/>
    <n v="715"/>
    <m/>
    <n v="2090"/>
    <n v="0"/>
    <n v="300"/>
    <n v="0"/>
    <n v="0"/>
    <s v="1.7-7"/>
    <s v="1.3-3"/>
    <n v="10"/>
    <n v="6.5"/>
    <n v="0.10833333333333334"/>
    <n v="0.65"/>
    <m/>
    <m/>
    <n v="0"/>
    <n v="0"/>
    <n v="618.15384615384619"/>
    <n v="334.46153846153845"/>
    <n v="110"/>
    <n v="0"/>
    <n v="0.33410173659136316"/>
    <n v="0.10988166589826341"/>
    <n v="0"/>
    <n v="0.44398340248962659"/>
    <n v="46.153846153846153"/>
    <n v="321.53846153846155"/>
    <n v="0"/>
    <n v="0"/>
    <n v="6408"/>
    <n v="985.84615384615381"/>
    <s v="cold waiting to warm up,"/>
  </r>
  <r>
    <d v="2025-02-17T00:00:00"/>
    <x v="1"/>
    <x v="1"/>
    <m/>
    <n v="628"/>
    <n v="8478"/>
    <n v="1115.5263157894738"/>
    <s v="3/8"/>
    <n v="0"/>
    <n v="57"/>
    <m/>
    <n v="5136"/>
    <n v="2324"/>
    <n v="2812"/>
    <m/>
    <n v="2888"/>
    <n v="0"/>
    <n v="0"/>
    <n v="0"/>
    <n v="0"/>
    <s v="1.7-7"/>
    <s v="1.3-3"/>
    <n v="10"/>
    <n v="7.6"/>
    <n v="0.89411764705882346"/>
    <n v="0.76"/>
    <m/>
    <m/>
    <n v="0"/>
    <n v="0"/>
    <n v="675.78947368421052"/>
    <n v="305.78947368421052"/>
    <n v="370"/>
    <n v="0"/>
    <n v="0.27412125501297474"/>
    <n v="0.3316820004718094"/>
    <n v="0"/>
    <n v="0.60580325548478409"/>
    <n v="0"/>
    <n v="380"/>
    <n v="0"/>
    <n v="0"/>
    <n v="8024"/>
    <n v="1055.7894736842104"/>
    <s v="1 -304 code"/>
  </r>
  <r>
    <d v="2025-02-17T00:00:00"/>
    <x v="1"/>
    <x v="1"/>
    <m/>
    <n v="628"/>
    <n v="8478"/>
    <s v="3/8"/>
    <n v="0"/>
    <n v="57"/>
    <n v="5136"/>
    <m/>
    <n v="2324"/>
    <n v="2812"/>
    <n v="0"/>
    <m/>
    <n v="2888"/>
    <n v="0"/>
    <n v="0"/>
    <n v="0"/>
    <n v="0"/>
    <s v="1.7-7"/>
    <s v="1.3-3"/>
    <n v="10"/>
    <n v="7.6"/>
    <n v="0.12666666666666665"/>
    <n v="0.76"/>
    <m/>
    <m/>
    <n v="0"/>
    <n v="0"/>
    <n v="675.78947368421052"/>
    <n v="370"/>
    <m/>
    <n v="0"/>
    <n v="0.3316820004718094"/>
    <n v="0"/>
    <n v="0"/>
    <n v="0.3316820004718094"/>
    <n v="0"/>
    <n v="380"/>
    <n v="0"/>
    <n v="0"/>
    <n v="8024"/>
    <n v="1055.7894736842104"/>
    <s v="1 -304 code"/>
  </r>
  <r>
    <d v="2025-02-24T00:00:00"/>
    <x v="1"/>
    <x v="1"/>
    <m/>
    <n v="488"/>
    <n v="6588"/>
    <n v="1029.375"/>
    <s v="3/8"/>
    <n v="0"/>
    <n v="57"/>
    <m/>
    <n v="4321"/>
    <n v="1888"/>
    <n v="2433"/>
    <m/>
    <n v="2430"/>
    <n v="0"/>
    <n v="0"/>
    <n v="0"/>
    <n v="0"/>
    <s v="1.7-7"/>
    <s v="1.3-3"/>
    <n v="10"/>
    <n v="6.4"/>
    <n v="0.75294117647058822"/>
    <n v="0.64"/>
    <m/>
    <m/>
    <n v="0"/>
    <n v="0"/>
    <n v="675.15625"/>
    <n v="295"/>
    <n v="380.15625"/>
    <n v="0"/>
    <n v="0.28658166363084397"/>
    <n v="0.36930783242258652"/>
    <n v="0"/>
    <n v="0.6558894960534305"/>
    <n v="0"/>
    <n v="379.6875"/>
    <n v="0"/>
    <n v="0"/>
    <n v="6751"/>
    <n v="1054.84375"/>
    <s v="shut down to stockpile "/>
  </r>
  <r>
    <d v="2025-02-24T00:00:00"/>
    <x v="1"/>
    <x v="1"/>
    <m/>
    <n v="488"/>
    <n v="6588"/>
    <s v="3/8"/>
    <n v="0"/>
    <n v="57"/>
    <n v="4321"/>
    <m/>
    <n v="1888"/>
    <n v="2433"/>
    <n v="0"/>
    <m/>
    <n v="2430"/>
    <n v="0"/>
    <n v="0"/>
    <n v="0"/>
    <n v="0"/>
    <s v="1.7-7"/>
    <s v="1.3-3"/>
    <n v="10"/>
    <n v="6.4"/>
    <n v="0.10666666666666667"/>
    <n v="0.64"/>
    <m/>
    <m/>
    <n v="0"/>
    <n v="0"/>
    <n v="675.15625"/>
    <n v="380.15625"/>
    <m/>
    <n v="0"/>
    <n v="0.36930783242258652"/>
    <n v="0"/>
    <n v="0"/>
    <n v="0.36930783242258652"/>
    <n v="0"/>
    <n v="379.6875"/>
    <n v="0"/>
    <n v="0"/>
    <n v="6751"/>
    <n v="1054.84375"/>
    <s v="shut down to stockpile "/>
  </r>
  <r>
    <d v="2025-02-25T00:00:00"/>
    <x v="1"/>
    <x v="1"/>
    <m/>
    <n v="554"/>
    <n v="7479"/>
    <n v="1150.6153846153845"/>
    <s v="3/8"/>
    <n v="0"/>
    <n v="57"/>
    <m/>
    <n v="4520"/>
    <n v="2109"/>
    <n v="2411"/>
    <m/>
    <n v="2470"/>
    <n v="0"/>
    <n v="0"/>
    <n v="0"/>
    <n v="0"/>
    <s v="1.7-7"/>
    <s v="1.3-3"/>
    <n v="10"/>
    <n v="6.5"/>
    <n v="0.76470588235294112"/>
    <n v="0.65"/>
    <m/>
    <m/>
    <n v="0"/>
    <n v="0"/>
    <n v="695.38461538461536"/>
    <n v="324.46153846153845"/>
    <n v="370.92307692307691"/>
    <n v="0"/>
    <n v="0.28198957079823506"/>
    <n v="0.32236930070865089"/>
    <n v="0"/>
    <n v="0.60435887150688594"/>
    <n v="0"/>
    <n v="380"/>
    <n v="0"/>
    <n v="0"/>
    <n v="6990"/>
    <n v="1075.3846153846152"/>
    <s v="shut down to stockpile "/>
  </r>
  <r>
    <d v="2025-02-25T00:00:00"/>
    <x v="1"/>
    <x v="1"/>
    <m/>
    <n v="554"/>
    <n v="7479"/>
    <s v="3/8"/>
    <n v="0"/>
    <n v="57"/>
    <n v="4520"/>
    <m/>
    <n v="2109"/>
    <n v="2411"/>
    <n v="0"/>
    <m/>
    <n v="2470"/>
    <n v="0"/>
    <n v="0"/>
    <n v="0"/>
    <n v="0"/>
    <s v="1.7-7"/>
    <s v="1.3-3"/>
    <n v="10"/>
    <n v="6.5"/>
    <n v="0.10833333333333334"/>
    <n v="0.65"/>
    <m/>
    <m/>
    <n v="0"/>
    <n v="0"/>
    <n v="695.38461538461536"/>
    <n v="370.92307692307691"/>
    <m/>
    <n v="0"/>
    <n v="0.32236930070865089"/>
    <n v="0"/>
    <n v="0"/>
    <n v="0.32236930070865089"/>
    <n v="0"/>
    <n v="380"/>
    <n v="0"/>
    <n v="0"/>
    <n v="6990"/>
    <n v="1075.3846153846152"/>
    <s v="shut down to stockpile "/>
  </r>
  <r>
    <d v="2025-03-03T00:00:00"/>
    <x v="1"/>
    <x v="2"/>
    <m/>
    <n v="462"/>
    <n v="6237"/>
    <n v="891"/>
    <s v="3/8"/>
    <n v="0"/>
    <n v="57"/>
    <m/>
    <n v="4314"/>
    <n v="1965"/>
    <n v="2349"/>
    <m/>
    <n v="2660"/>
    <n v="0"/>
    <n v="0"/>
    <n v="0"/>
    <n v="0"/>
    <s v="2-7"/>
    <s v="1.8-3"/>
    <n v="10"/>
    <n v="7"/>
    <n v="0.82352941176470584"/>
    <n v="0.7"/>
    <m/>
    <m/>
    <n v="0"/>
    <n v="0"/>
    <n v="616.28571428571433"/>
    <n v="280.71428571428572"/>
    <n v="335.57142857142856"/>
    <n v="0"/>
    <n v="0.31505531505531503"/>
    <n v="0.37662337662337664"/>
    <n v="0"/>
    <n v="0.69167869167869167"/>
    <n v="0"/>
    <n v="380"/>
    <n v="0"/>
    <n v="0"/>
    <n v="6974"/>
    <n v="996.28571428571433"/>
    <s v="2-304 code shut down to stock pile"/>
  </r>
  <r>
    <d v="2025-03-03T00:00:00"/>
    <x v="1"/>
    <x v="2"/>
    <m/>
    <n v="462"/>
    <n v="6237"/>
    <s v="3/8"/>
    <n v="0"/>
    <n v="57"/>
    <n v="4314"/>
    <m/>
    <n v="1965"/>
    <n v="2349"/>
    <n v="0"/>
    <m/>
    <n v="2660"/>
    <n v="0"/>
    <n v="0"/>
    <n v="0"/>
    <n v="0"/>
    <s v="2-7"/>
    <s v="1.8-3"/>
    <n v="10"/>
    <n v="7"/>
    <n v="0.11666666666666667"/>
    <n v="0.7"/>
    <m/>
    <m/>
    <n v="0"/>
    <n v="0"/>
    <n v="616.28571428571433"/>
    <n v="335.57142857142856"/>
    <m/>
    <n v="0"/>
    <n v="0.37662337662337664"/>
    <n v="0"/>
    <n v="0"/>
    <n v="0.37662337662337664"/>
    <n v="0"/>
    <n v="380"/>
    <n v="0"/>
    <n v="0"/>
    <n v="6974"/>
    <n v="996.28571428571433"/>
    <s v="2-304 code shut down to stock pile"/>
  </r>
  <r>
    <d v="2025-03-06T00:00:00"/>
    <x v="1"/>
    <x v="2"/>
    <m/>
    <n v="475"/>
    <n v="6412.5"/>
    <n v="957.08955223880594"/>
    <s v="3/8"/>
    <n v="0"/>
    <n v="57"/>
    <m/>
    <n v="4056"/>
    <n v="1950"/>
    <n v="2106"/>
    <m/>
    <n v="2560"/>
    <n v="0"/>
    <n v="0"/>
    <n v="0"/>
    <n v="0"/>
    <s v="2-7"/>
    <s v="1.3-3"/>
    <n v="10"/>
    <n v="6.7"/>
    <n v="0.78823529411764703"/>
    <n v="0.67"/>
    <m/>
    <m/>
    <n v="0"/>
    <n v="0"/>
    <n v="605.37313432835822"/>
    <n v="291.04477611940297"/>
    <n v="314.32835820895519"/>
    <n v="0"/>
    <n v="0.30409356725146197"/>
    <n v="0.32842105263157895"/>
    <n v="0"/>
    <n v="0.63251461988304092"/>
    <n v="0"/>
    <n v="382.08955223880594"/>
    <n v="0"/>
    <n v="0"/>
    <n v="6616"/>
    <n v="987.46268656716416"/>
    <s v="9- 304 codes  Bars may need changed"/>
  </r>
  <r>
    <d v="2025-03-06T00:00:00"/>
    <x v="1"/>
    <x v="2"/>
    <m/>
    <n v="475"/>
    <n v="6412.5"/>
    <s v="3/8"/>
    <n v="0"/>
    <n v="57"/>
    <n v="4056"/>
    <m/>
    <n v="1950"/>
    <n v="2106"/>
    <n v="0"/>
    <m/>
    <n v="2560"/>
    <n v="0"/>
    <n v="0"/>
    <n v="0"/>
    <n v="0"/>
    <s v="2-7"/>
    <s v="1.3-3"/>
    <n v="10"/>
    <n v="6.7"/>
    <n v="0.11166666666666666"/>
    <n v="0.67"/>
    <m/>
    <m/>
    <n v="0"/>
    <n v="0"/>
    <n v="605.37313432835822"/>
    <n v="314.32835820895519"/>
    <m/>
    <n v="0"/>
    <n v="0.32842105263157895"/>
    <n v="0"/>
    <n v="0"/>
    <n v="0.32842105263157895"/>
    <n v="0"/>
    <n v="382.08955223880594"/>
    <n v="0"/>
    <n v="0"/>
    <n v="6616"/>
    <n v="987.46268656716416"/>
    <s v="9- 304 codes  Bars may need changed"/>
  </r>
  <r>
    <d v="2025-03-12T00:00:00"/>
    <x v="1"/>
    <x v="2"/>
    <m/>
    <n v="607"/>
    <n v="8194.5"/>
    <n v="931.19318181818176"/>
    <s v="3/8"/>
    <n v="0"/>
    <n v="57"/>
    <m/>
    <n v="5252"/>
    <n v="2482"/>
    <n v="2770"/>
    <m/>
    <n v="3344"/>
    <n v="0"/>
    <n v="750"/>
    <n v="0"/>
    <n v="0"/>
    <s v="2-7"/>
    <s v="1.3-3"/>
    <n v="10"/>
    <n v="8.8000000000000007"/>
    <n v="1.0352941176470589"/>
    <n v="0.88000000000000012"/>
    <m/>
    <m/>
    <n v="0"/>
    <n v="0"/>
    <n v="596.81818181818176"/>
    <n v="282.0454545454545"/>
    <n v="314.77272727272725"/>
    <n v="0"/>
    <n v="0.30288608212825674"/>
    <n v="0.33803160656537923"/>
    <n v="0"/>
    <n v="0.64091768869363597"/>
    <n v="85.22727272727272"/>
    <n v="379.99999999999994"/>
    <n v="0"/>
    <n v="0"/>
    <n v="9346"/>
    <n v="1062.0454545454545"/>
    <m/>
  </r>
  <r>
    <d v="2025-03-12T00:00:00"/>
    <x v="1"/>
    <x v="2"/>
    <m/>
    <n v="607"/>
    <n v="8194.5"/>
    <s v="3/8"/>
    <n v="0"/>
    <n v="57"/>
    <n v="5252"/>
    <m/>
    <n v="2482"/>
    <n v="2770"/>
    <n v="0"/>
    <m/>
    <n v="3344"/>
    <n v="0"/>
    <n v="750"/>
    <n v="0"/>
    <n v="0"/>
    <s v="2-7"/>
    <s v="1.3-3"/>
    <n v="10"/>
    <n v="8.8000000000000007"/>
    <n v="0.14666666666666667"/>
    <n v="0.88000000000000012"/>
    <m/>
    <m/>
    <n v="0"/>
    <n v="0"/>
    <n v="596.81818181818176"/>
    <n v="314.77272727272725"/>
    <m/>
    <n v="0"/>
    <n v="0.33803160656537923"/>
    <n v="0"/>
    <n v="0"/>
    <n v="0.33803160656537923"/>
    <n v="85.22727272727272"/>
    <n v="379.99999999999994"/>
    <n v="0"/>
    <n v="0"/>
    <n v="9346"/>
    <n v="1062.0454545454545"/>
    <m/>
  </r>
  <r>
    <d v="2025-03-13T00:00:00"/>
    <x v="1"/>
    <x v="2"/>
    <m/>
    <n v="719"/>
    <n v="9706.5"/>
    <n v="1055.054347826087"/>
    <s v="3/8"/>
    <n v="0"/>
    <n v="57"/>
    <m/>
    <n v="4129"/>
    <n v="1919"/>
    <n v="2210"/>
    <m/>
    <n v="3496"/>
    <n v="0"/>
    <n v="2300"/>
    <n v="0"/>
    <n v="0"/>
    <s v="2-7"/>
    <s v="1.3-3"/>
    <n v="12"/>
    <n v="9.1999999999999993"/>
    <n v="0.90196078431372551"/>
    <n v="0.76666666666666661"/>
    <m/>
    <m/>
    <n v="0"/>
    <n v="0"/>
    <n v="448.804347826087"/>
    <n v="208.58695652173915"/>
    <n v="240.21739130434784"/>
    <n v="0"/>
    <n v="0.19770257044248699"/>
    <n v="0.22768248081182713"/>
    <n v="0"/>
    <n v="0.42538505125431414"/>
    <n v="250.00000000000003"/>
    <n v="380.00000000000006"/>
    <n v="0"/>
    <n v="0"/>
    <n v="9925"/>
    <n v="1078.804347826087"/>
    <s v="return skirt boads , rubber stuck in splitter box"/>
  </r>
  <r>
    <d v="2025-03-13T00:00:00"/>
    <x v="1"/>
    <x v="2"/>
    <m/>
    <n v="719"/>
    <n v="9706.5"/>
    <s v="3/8"/>
    <n v="0"/>
    <n v="57"/>
    <n v="4129"/>
    <m/>
    <n v="1919"/>
    <n v="2210"/>
    <n v="0"/>
    <m/>
    <n v="3496"/>
    <n v="0"/>
    <n v="2300"/>
    <n v="0"/>
    <n v="0"/>
    <s v="2-7"/>
    <s v="1.3-3"/>
    <n v="12"/>
    <n v="9.1999999999999993"/>
    <n v="0.12777777777777777"/>
    <n v="0.76666666666666661"/>
    <m/>
    <m/>
    <n v="0"/>
    <n v="0"/>
    <n v="448.804347826087"/>
    <n v="240.21739130434784"/>
    <m/>
    <n v="0"/>
    <n v="0.22768248081182713"/>
    <n v="0"/>
    <n v="0"/>
    <n v="0.22768248081182713"/>
    <n v="250.00000000000003"/>
    <n v="380.00000000000006"/>
    <n v="0"/>
    <n v="0"/>
    <n v="9925"/>
    <n v="1078.804347826087"/>
    <s v="return skirt boads , rubber stuck in splitter box"/>
  </r>
  <r>
    <d v="2025-03-14T00:00:00"/>
    <x v="1"/>
    <x v="2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3-15T00:00:00"/>
    <x v="1"/>
    <x v="2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3-18T00:00:00"/>
    <x v="1"/>
    <x v="2"/>
    <m/>
    <n v="346"/>
    <n v="4671"/>
    <n v="639.8630136986302"/>
    <s v="3/8"/>
    <n v="0"/>
    <n v="57"/>
    <m/>
    <n v="4512"/>
    <n v="1538"/>
    <n v="2974"/>
    <m/>
    <n v="2774"/>
    <n v="0"/>
    <n v="0"/>
    <n v="0"/>
    <n v="0"/>
    <s v="2.25-7"/>
    <s v="1.3=3"/>
    <n v="10"/>
    <n v="7.3"/>
    <n v="0.85882352941176465"/>
    <n v="0.73"/>
    <m/>
    <m/>
    <n v="0"/>
    <n v="0"/>
    <n v="618.08219178082197"/>
    <n v="210.68493150684932"/>
    <n v="407.39726027397262"/>
    <n v="0"/>
    <n v="0.32926568186683791"/>
    <n v="0.63669449796617428"/>
    <n v="0"/>
    <n v="0.96596017983301219"/>
    <n v="0"/>
    <n v="380"/>
    <n v="0"/>
    <n v="0"/>
    <n v="7286"/>
    <n v="998.08219178082197"/>
    <m/>
  </r>
  <r>
    <d v="2025-03-18T00:00:00"/>
    <x v="1"/>
    <x v="2"/>
    <m/>
    <n v="346"/>
    <n v="4671"/>
    <s v="3/8"/>
    <n v="0"/>
    <n v="57"/>
    <n v="4512"/>
    <m/>
    <n v="1538"/>
    <n v="2974"/>
    <n v="0"/>
    <m/>
    <n v="2774"/>
    <n v="0"/>
    <n v="0"/>
    <n v="0"/>
    <n v="0"/>
    <s v="2.25-7"/>
    <s v="1.3=3"/>
    <n v="10"/>
    <n v="7.3"/>
    <n v="0.12166666666666666"/>
    <n v="0.73"/>
    <m/>
    <m/>
    <n v="0"/>
    <n v="0"/>
    <n v="618.08219178082197"/>
    <n v="407.39726027397262"/>
    <m/>
    <n v="0"/>
    <n v="0.63669449796617428"/>
    <n v="0"/>
    <n v="0"/>
    <n v="0.63669449796617428"/>
    <n v="0"/>
    <n v="380"/>
    <n v="0"/>
    <n v="0"/>
    <n v="7286"/>
    <n v="998.08219178082197"/>
    <m/>
  </r>
  <r>
    <d v="2025-03-20T00:00:00"/>
    <x v="1"/>
    <x v="2"/>
    <m/>
    <n v="602"/>
    <n v="8127"/>
    <n v="979.15662650602405"/>
    <s v="3/8"/>
    <n v="0"/>
    <n v="57"/>
    <m/>
    <n v="5350"/>
    <n v="2774"/>
    <n v="2576"/>
    <m/>
    <n v="3154"/>
    <n v="0"/>
    <n v="0"/>
    <n v="0"/>
    <n v="0"/>
    <s v="2.25-7"/>
    <s v="1.3-3"/>
    <n v="10"/>
    <n v="8.3000000000000007"/>
    <n v="0.9764705882352942"/>
    <n v="0.83000000000000007"/>
    <m/>
    <m/>
    <n v="0"/>
    <n v="0"/>
    <n v="644.57831325301197"/>
    <n v="334.2168674698795"/>
    <n v="310.36144578313252"/>
    <n v="0"/>
    <n v="0.34133136458717855"/>
    <n v="0.3169681309216193"/>
    <n v="0"/>
    <n v="0.65829949550879785"/>
    <n v="0"/>
    <n v="379.99999999999994"/>
    <n v="0"/>
    <n v="0"/>
    <n v="8504"/>
    <n v="1024.5783132530119"/>
    <s v="check splitter chute out"/>
  </r>
  <r>
    <d v="2025-03-20T00:00:00"/>
    <x v="1"/>
    <x v="2"/>
    <m/>
    <n v="602"/>
    <n v="8127"/>
    <s v="3/8"/>
    <n v="0"/>
    <n v="57"/>
    <n v="5350"/>
    <m/>
    <n v="2774"/>
    <n v="2576"/>
    <n v="0"/>
    <m/>
    <n v="3154"/>
    <n v="0"/>
    <n v="0"/>
    <n v="0"/>
    <n v="0"/>
    <s v="2.25-7"/>
    <s v="1.3-3"/>
    <n v="10"/>
    <n v="8.3000000000000007"/>
    <n v="0.13833333333333334"/>
    <n v="0.83000000000000007"/>
    <m/>
    <m/>
    <n v="0"/>
    <n v="0"/>
    <n v="644.57831325301197"/>
    <n v="310.36144578313252"/>
    <m/>
    <n v="0"/>
    <n v="0.3169681309216193"/>
    <n v="0"/>
    <n v="0"/>
    <n v="0.3169681309216193"/>
    <n v="0"/>
    <n v="379.99999999999994"/>
    <n v="0"/>
    <n v="0"/>
    <n v="8504"/>
    <n v="1024.5783132530119"/>
    <s v="check splitter chute out"/>
  </r>
  <r>
    <d v="2025-03-21T00:00:00"/>
    <x v="1"/>
    <x v="2"/>
    <m/>
    <n v="235"/>
    <n v="3172.5"/>
    <n v="881.25"/>
    <s v="3/8"/>
    <n v="0"/>
    <n v="57"/>
    <m/>
    <n v="1586"/>
    <n v="717"/>
    <n v="869"/>
    <m/>
    <n v="1368"/>
    <n v="0"/>
    <n v="1080"/>
    <n v="0"/>
    <n v="0"/>
    <s v="2.25-7"/>
    <s v="1.3-3"/>
    <n v="5"/>
    <n v="3.6"/>
    <n v="0.84705882352941175"/>
    <n v="0.72"/>
    <m/>
    <m/>
    <n v="0"/>
    <n v="0"/>
    <n v="440.55555555555554"/>
    <n v="199.16666666666666"/>
    <n v="241.38888888888889"/>
    <n v="0"/>
    <n v="0.2260047281323877"/>
    <n v="0.27391646966115052"/>
    <n v="0"/>
    <n v="0.49992119779353822"/>
    <n v="300"/>
    <n v="380"/>
    <n v="0"/>
    <n v="0"/>
    <n v="4034"/>
    <n v="1120.5555555555557"/>
    <s v="finish running material off pad"/>
  </r>
  <r>
    <d v="2025-03-21T00:00:00"/>
    <x v="1"/>
    <x v="2"/>
    <m/>
    <n v="235"/>
    <n v="3172.5"/>
    <s v="3/8"/>
    <n v="0"/>
    <n v="57"/>
    <n v="1586"/>
    <m/>
    <n v="717"/>
    <n v="869"/>
    <n v="0"/>
    <m/>
    <n v="1368"/>
    <n v="0"/>
    <n v="1080"/>
    <n v="0"/>
    <n v="0"/>
    <s v="2.25-7"/>
    <s v="1.3-3"/>
    <n v="5"/>
    <n v="3.6"/>
    <n v="0.12000000000000001"/>
    <n v="0.72"/>
    <m/>
    <m/>
    <n v="0"/>
    <n v="0"/>
    <n v="440.55555555555554"/>
    <n v="241.38888888888889"/>
    <m/>
    <n v="0"/>
    <n v="0.27391646966115052"/>
    <n v="0"/>
    <n v="0"/>
    <n v="0.27391646966115052"/>
    <n v="300"/>
    <n v="380"/>
    <n v="0"/>
    <n v="0"/>
    <n v="4034"/>
    <n v="1120.5555555555557"/>
    <s v="finish running material off pad"/>
  </r>
  <r>
    <d v="2025-03-22T00:00:00"/>
    <x v="1"/>
    <x v="2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3-23T00:00:00"/>
    <x v="1"/>
    <x v="2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3-27T00:00:00"/>
    <x v="1"/>
    <x v="2"/>
    <m/>
    <n v="485"/>
    <n v="6547.5"/>
    <n v="873"/>
    <s v="3/8"/>
    <n v="0"/>
    <n v="57"/>
    <m/>
    <n v="4795"/>
    <n v="1897"/>
    <n v="2898"/>
    <m/>
    <n v="2850"/>
    <n v="0"/>
    <n v="0"/>
    <n v="0"/>
    <n v="0"/>
    <s v="2.25-7"/>
    <s v="1.3-3"/>
    <n v="10"/>
    <n v="7.5"/>
    <n v="0.88235294117647056"/>
    <n v="0.75"/>
    <m/>
    <m/>
    <n v="0"/>
    <n v="0"/>
    <n v="639.33333333333337"/>
    <n v="252.93333333333334"/>
    <n v="386.4"/>
    <n v="0"/>
    <n v="0.28972890416189384"/>
    <n v="0.44261168384879723"/>
    <n v="0"/>
    <n v="0.73234058801069102"/>
    <n v="0"/>
    <n v="380"/>
    <n v="0"/>
    <n v="0"/>
    <n v="7645"/>
    <n v="1019.3333333333334"/>
    <s v="Skirt board crusher run stacker"/>
  </r>
  <r>
    <d v="2025-03-27T00:00:00"/>
    <x v="1"/>
    <x v="2"/>
    <m/>
    <n v="485"/>
    <n v="6547.5"/>
    <s v="3/8"/>
    <n v="0"/>
    <n v="57"/>
    <n v="4795"/>
    <m/>
    <n v="1897"/>
    <n v="2898"/>
    <n v="0"/>
    <m/>
    <n v="2850"/>
    <n v="0"/>
    <n v="0"/>
    <n v="0"/>
    <n v="0"/>
    <s v="2.25-7"/>
    <s v="1.3-3"/>
    <n v="10"/>
    <n v="7.5"/>
    <n v="0.125"/>
    <n v="0.75"/>
    <m/>
    <m/>
    <n v="0"/>
    <n v="0"/>
    <n v="639.33333333333337"/>
    <n v="386.4"/>
    <m/>
    <n v="0"/>
    <n v="0.44261168384879723"/>
    <n v="0"/>
    <n v="0"/>
    <n v="0.44261168384879723"/>
    <n v="0"/>
    <n v="380"/>
    <n v="0"/>
    <n v="0"/>
    <n v="7645"/>
    <n v="1019.3333333333334"/>
    <s v="Skirt board crusher run stacker"/>
  </r>
  <r>
    <d v="2025-03-28T00:00:00"/>
    <x v="1"/>
    <x v="2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4-01T00:00:00"/>
    <x v="1"/>
    <x v="3"/>
    <m/>
    <n v="657"/>
    <n v="8869.5"/>
    <n v="1055.8928571428571"/>
    <s v="3/8"/>
    <n v="0"/>
    <n v="57"/>
    <m/>
    <n v="5690"/>
    <n v="2281"/>
    <n v="3409"/>
    <m/>
    <n v="3198"/>
    <n v="0"/>
    <n v="0"/>
    <n v="0"/>
    <n v="0"/>
    <s v="2.25-7"/>
    <s v="1.3-3"/>
    <n v="10"/>
    <n v="8.4"/>
    <n v="0.9882352941176471"/>
    <n v="0.84000000000000008"/>
    <m/>
    <m/>
    <n v="0"/>
    <n v="0"/>
    <n v="677.38095238095241"/>
    <n v="271.54761904761904"/>
    <n v="405.83333333333331"/>
    <n v="0"/>
    <n v="0.25717345960877164"/>
    <n v="0.38435086532499013"/>
    <n v="0"/>
    <n v="0.64152432493376177"/>
    <n v="0"/>
    <n v="380.71428571428572"/>
    <n v="0"/>
    <n v="0"/>
    <n v="8888"/>
    <n v="1058.0952380952381"/>
    <s v="304 code "/>
  </r>
  <r>
    <d v="2025-04-01T00:00:00"/>
    <x v="1"/>
    <x v="3"/>
    <m/>
    <n v="657"/>
    <n v="8869.5"/>
    <s v="3/8"/>
    <n v="0"/>
    <n v="57"/>
    <n v="5690"/>
    <m/>
    <n v="2281"/>
    <n v="3409"/>
    <n v="0"/>
    <m/>
    <n v="3198"/>
    <n v="0"/>
    <n v="0"/>
    <n v="0"/>
    <n v="0"/>
    <s v="2.25-7"/>
    <s v="1.3-3"/>
    <n v="10"/>
    <n v="8.4"/>
    <n v="0.14000000000000001"/>
    <n v="0.84000000000000008"/>
    <m/>
    <m/>
    <n v="0"/>
    <n v="0"/>
    <n v="677.38095238095241"/>
    <n v="405.83333333333331"/>
    <m/>
    <n v="0"/>
    <n v="0.38435086532499013"/>
    <n v="0"/>
    <n v="0"/>
    <n v="0.38435086532499013"/>
    <n v="0"/>
    <n v="380.71428571428572"/>
    <n v="0"/>
    <n v="0"/>
    <n v="8888"/>
    <n v="1058.0952380952381"/>
    <s v="304 code "/>
  </r>
  <r>
    <d v="2025-04-02T00:00:00"/>
    <x v="1"/>
    <x v="3"/>
    <m/>
    <n v="554"/>
    <n v="7479"/>
    <n v="1083.9130434782608"/>
    <s v="3/8"/>
    <n v="0"/>
    <n v="57"/>
    <m/>
    <n v="4711"/>
    <n v="1681"/>
    <n v="3030"/>
    <m/>
    <n v="2622"/>
    <n v="0"/>
    <n v="0"/>
    <n v="0"/>
    <n v="0"/>
    <s v="2.25-7"/>
    <s v="1.3-3"/>
    <n v="10"/>
    <n v="6.9"/>
    <n v="0.81176470588235294"/>
    <n v="0.69000000000000006"/>
    <m/>
    <m/>
    <n v="0"/>
    <n v="0"/>
    <n v="682.75362318840575"/>
    <n v="243.62318840579709"/>
    <n v="439.13043478260869"/>
    <n v="0"/>
    <n v="0.22476266880599011"/>
    <n v="0.40513437625350984"/>
    <n v="0"/>
    <n v="0.62989704505949995"/>
    <n v="0"/>
    <n v="380"/>
    <n v="0"/>
    <n v="0"/>
    <n v="7333"/>
    <n v="1062.7536231884058"/>
    <m/>
  </r>
  <r>
    <d v="2025-04-02T00:00:00"/>
    <x v="1"/>
    <x v="3"/>
    <m/>
    <n v="554"/>
    <n v="7479"/>
    <s v="3/8"/>
    <n v="0"/>
    <n v="57"/>
    <n v="4711"/>
    <m/>
    <n v="1681"/>
    <n v="3030"/>
    <n v="0"/>
    <m/>
    <n v="2622"/>
    <n v="0"/>
    <n v="0"/>
    <n v="0"/>
    <n v="0"/>
    <s v="2.25-7"/>
    <s v="1.3-3"/>
    <n v="10"/>
    <n v="6.9"/>
    <n v="0.115"/>
    <n v="0.69000000000000006"/>
    <m/>
    <m/>
    <n v="0"/>
    <n v="0"/>
    <n v="682.75362318840575"/>
    <n v="439.13043478260869"/>
    <m/>
    <n v="0"/>
    <n v="0.40513437625350984"/>
    <n v="0"/>
    <n v="0"/>
    <n v="0.40513437625350984"/>
    <n v="0"/>
    <n v="380"/>
    <n v="0"/>
    <n v="0"/>
    <n v="7333"/>
    <n v="1062.7536231884058"/>
    <m/>
  </r>
  <r>
    <d v="2025-04-09T00:00:00"/>
    <x v="1"/>
    <x v="3"/>
    <m/>
    <n v="491"/>
    <n v="6628.5"/>
    <n v="908.01369863013701"/>
    <s v="3/8"/>
    <n v="0"/>
    <n v="57"/>
    <m/>
    <n v="3205"/>
    <n v="1745"/>
    <n v="1460"/>
    <m/>
    <n v="1460"/>
    <n v="0"/>
    <n v="2190"/>
    <n v="0"/>
    <n v="0"/>
    <s v="2.25-7"/>
    <s v="1.3-3"/>
    <n v="10"/>
    <n v="7.3"/>
    <n v="0.85882352941176465"/>
    <n v="0.73"/>
    <m/>
    <m/>
    <n v="0"/>
    <n v="0"/>
    <n v="439.04109589041099"/>
    <n v="239.04109589041096"/>
    <n v="200"/>
    <n v="0"/>
    <n v="0.26325714716753412"/>
    <n v="0.22026099419174774"/>
    <n v="0"/>
    <n v="0.48351814135928184"/>
    <n v="300"/>
    <n v="200"/>
    <n v="0"/>
    <n v="0"/>
    <n v="6855"/>
    <n v="939.04109589041104"/>
    <s v="Clean spilter chute adjust screen 2 belt feed"/>
  </r>
  <r>
    <d v="2025-04-09T00:00:00"/>
    <x v="1"/>
    <x v="3"/>
    <m/>
    <n v="491"/>
    <n v="6628.5"/>
    <s v="3/8"/>
    <n v="0"/>
    <n v="57"/>
    <n v="3205"/>
    <m/>
    <n v="1745"/>
    <n v="1460"/>
    <n v="0"/>
    <m/>
    <n v="1460"/>
    <n v="0"/>
    <n v="2190"/>
    <n v="0"/>
    <n v="0"/>
    <s v="2.25-7"/>
    <s v="1.3-3"/>
    <n v="10"/>
    <n v="7.3"/>
    <n v="0.12166666666666666"/>
    <n v="0.73"/>
    <m/>
    <m/>
    <n v="0"/>
    <n v="0"/>
    <n v="439.04109589041099"/>
    <n v="200"/>
    <m/>
    <n v="0"/>
    <n v="0.22026099419174774"/>
    <n v="0"/>
    <n v="0"/>
    <n v="0.22026099419174774"/>
    <n v="300"/>
    <n v="200"/>
    <n v="0"/>
    <n v="0"/>
    <n v="6855"/>
    <n v="939.04109589041104"/>
    <s v="Clean spilter chute adjust screen 2 belt feed"/>
  </r>
  <r>
    <d v="2025-04-11T00:00:00"/>
    <x v="1"/>
    <x v="3"/>
    <m/>
    <n v="607"/>
    <n v="8194.5"/>
    <n v="975.53571428571422"/>
    <s v="3/8"/>
    <n v="0"/>
    <n v="57"/>
    <m/>
    <n v="5274"/>
    <n v="2362"/>
    <n v="2912"/>
    <m/>
    <n v="3200"/>
    <n v="0"/>
    <n v="0"/>
    <n v="0"/>
    <n v="0"/>
    <s v="2.25-7"/>
    <s v="1.3-3"/>
    <n v="10"/>
    <n v="8.4"/>
    <n v="0.9882352941176471"/>
    <n v="0.84000000000000008"/>
    <m/>
    <m/>
    <n v="0"/>
    <n v="0"/>
    <n v="627.85714285714278"/>
    <n v="281.1904761904762"/>
    <n v="346.66666666666663"/>
    <n v="0"/>
    <n v="0.28824211361278906"/>
    <n v="0.35536030264201601"/>
    <n v="0"/>
    <n v="0.64360241625480508"/>
    <n v="0"/>
    <n v="380.95238095238096"/>
    <n v="0"/>
    <n v="0"/>
    <n v="8474"/>
    <n v="1008.8095238095237"/>
    <m/>
  </r>
  <r>
    <d v="2025-04-11T00:00:00"/>
    <x v="1"/>
    <x v="3"/>
    <m/>
    <n v="607"/>
    <n v="8194.5"/>
    <s v="3/8"/>
    <n v="0"/>
    <n v="57"/>
    <n v="5274"/>
    <m/>
    <n v="2362"/>
    <n v="2912"/>
    <n v="0"/>
    <m/>
    <n v="3200"/>
    <n v="0"/>
    <n v="0"/>
    <n v="0"/>
    <n v="0"/>
    <s v="2.25-7"/>
    <s v="1.3-3"/>
    <n v="10"/>
    <n v="8.4"/>
    <n v="0.14000000000000001"/>
    <n v="0.84000000000000008"/>
    <m/>
    <m/>
    <n v="0"/>
    <n v="0"/>
    <n v="627.85714285714278"/>
    <n v="346.66666666666663"/>
    <m/>
    <n v="0"/>
    <n v="0.35536030264201601"/>
    <n v="0"/>
    <n v="0"/>
    <n v="0.35536030264201601"/>
    <n v="0"/>
    <n v="380.95238095238096"/>
    <n v="0"/>
    <n v="0"/>
    <n v="8474"/>
    <n v="1008.8095238095237"/>
    <m/>
  </r>
  <r>
    <d v="2025-04-14T00:00:00"/>
    <x v="1"/>
    <x v="3"/>
    <m/>
    <n v="532"/>
    <n v="7182"/>
    <n v="865.30120481927702"/>
    <s v="3/8"/>
    <n v="0"/>
    <n v="57"/>
    <m/>
    <n v="3820"/>
    <n v="1532"/>
    <n v="2288"/>
    <m/>
    <n v="1600"/>
    <n v="0"/>
    <n v="2511"/>
    <n v="0"/>
    <n v="0"/>
    <s v="2.25-7"/>
    <s v="1.3-3"/>
    <n v="10"/>
    <n v="8.3000000000000007"/>
    <n v="0.9764705882352942"/>
    <n v="0.83000000000000007"/>
    <m/>
    <m/>
    <n v="0"/>
    <n v="0"/>
    <n v="460.24096385542163"/>
    <n v="184.57831325301203"/>
    <n v="275.6626506024096"/>
    <n v="0"/>
    <n v="0.21331105541631856"/>
    <n v="0.3185742133110554"/>
    <n v="0"/>
    <n v="0.53188526872737396"/>
    <n v="302.53012048192767"/>
    <n v="192.77108433734938"/>
    <n v="0"/>
    <n v="0"/>
    <n v="7931"/>
    <n v="955.54216867469859"/>
    <m/>
  </r>
  <r>
    <d v="2025-04-14T00:00:00"/>
    <x v="1"/>
    <x v="3"/>
    <m/>
    <n v="532"/>
    <n v="7182"/>
    <s v="3/8"/>
    <n v="0"/>
    <n v="57"/>
    <n v="3820"/>
    <m/>
    <n v="1532"/>
    <n v="2288"/>
    <n v="0"/>
    <m/>
    <n v="1600"/>
    <n v="0"/>
    <n v="2511"/>
    <n v="0"/>
    <n v="0"/>
    <s v="2.25-7"/>
    <s v="1.3-3"/>
    <n v="10"/>
    <n v="8.3000000000000007"/>
    <n v="0.13833333333333334"/>
    <n v="0.83000000000000007"/>
    <m/>
    <m/>
    <n v="0"/>
    <n v="0"/>
    <n v="460.24096385542163"/>
    <n v="275.6626506024096"/>
    <m/>
    <n v="0"/>
    <n v="0.3185742133110554"/>
    <n v="0"/>
    <n v="0"/>
    <n v="0.3185742133110554"/>
    <n v="302.53012048192767"/>
    <n v="192.77108433734938"/>
    <n v="0"/>
    <n v="0"/>
    <n v="7931"/>
    <n v="955.54216867469859"/>
    <m/>
  </r>
  <r>
    <d v="2025-04-15T00:00:00"/>
    <x v="1"/>
    <x v="3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4-16T00:00:00"/>
    <x v="1"/>
    <x v="3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4-17T00:00:00"/>
    <x v="1"/>
    <x v="3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4-18T00:00:00"/>
    <x v="1"/>
    <x v="3"/>
    <m/>
    <n v="495"/>
    <n v="6682.5"/>
    <n v="1095.4918032786886"/>
    <s v="3/8 "/>
    <n v="0"/>
    <n v="57"/>
    <m/>
    <n v="4386"/>
    <n v="2063"/>
    <n v="2323"/>
    <m/>
    <n v="2318"/>
    <n v="0"/>
    <n v="0"/>
    <n v="0"/>
    <n v="0"/>
    <s v="2.25-7"/>
    <s v="1.3-3"/>
    <n v="10"/>
    <n v="6.1"/>
    <n v="0.71764705882352942"/>
    <n v="0.61"/>
    <m/>
    <m/>
    <n v="0"/>
    <n v="0"/>
    <n v="719.01639344262298"/>
    <n v="338.19672131147541"/>
    <n v="380.81967213114757"/>
    <n v="0"/>
    <n v="0.30871679760568649"/>
    <n v="0.3476243920688365"/>
    <n v="0"/>
    <n v="0.65634118967452304"/>
    <n v="0"/>
    <n v="380"/>
    <n v="0"/>
    <n v="0"/>
    <n v="6704"/>
    <n v="1099.016393442623"/>
    <s v="75 minutes crusher door switch  60 employees safety lunch"/>
  </r>
  <r>
    <d v="2025-04-18T00:00:00"/>
    <x v="1"/>
    <x v="3"/>
    <m/>
    <n v="495"/>
    <n v="6682.5"/>
    <s v="3/8 "/>
    <n v="0"/>
    <n v="57"/>
    <n v="4386"/>
    <m/>
    <n v="2063"/>
    <n v="2323"/>
    <n v="0"/>
    <m/>
    <n v="2318"/>
    <n v="0"/>
    <n v="0"/>
    <n v="0"/>
    <n v="0"/>
    <s v="2.25-7"/>
    <s v="1.3-3"/>
    <n v="10"/>
    <n v="6.1"/>
    <n v="0.10166666666666666"/>
    <n v="0.61"/>
    <m/>
    <m/>
    <n v="0"/>
    <n v="0"/>
    <n v="719.01639344262298"/>
    <n v="380.81967213114757"/>
    <m/>
    <n v="0"/>
    <n v="0.3476243920688365"/>
    <n v="0"/>
    <n v="0"/>
    <n v="0.3476243920688365"/>
    <n v="0"/>
    <n v="380"/>
    <n v="0"/>
    <n v="0"/>
    <n v="6704"/>
    <n v="1099.016393442623"/>
    <s v="75 minutes crusher door switch  60 employees safety lunch"/>
  </r>
  <r>
    <d v="2025-04-24T00:00:00"/>
    <x v="1"/>
    <x v="3"/>
    <m/>
    <n v="321"/>
    <n v="4333.5"/>
    <n v="963"/>
    <s v="3/8"/>
    <n v="0"/>
    <n v="57"/>
    <m/>
    <n v="2582"/>
    <n v="1559"/>
    <n v="1023"/>
    <m/>
    <n v="900"/>
    <n v="0"/>
    <n v="723"/>
    <n v="0"/>
    <n v="0"/>
    <s v="2.25-7"/>
    <s v="1.3=3"/>
    <n v="10"/>
    <n v="4.5"/>
    <n v="0.52941176470588236"/>
    <n v="0.45"/>
    <m/>
    <m/>
    <n v="0"/>
    <n v="0"/>
    <n v="573.77777777777783"/>
    <n v="346.44444444444446"/>
    <n v="227.33333333333334"/>
    <n v="0"/>
    <n v="0.35975539402330681"/>
    <n v="0.23606784354447907"/>
    <n v="0"/>
    <n v="0.59582323756778588"/>
    <n v="160.66666666666666"/>
    <n v="200"/>
    <n v="0"/>
    <n v="0"/>
    <n v="4205"/>
    <n v="934.44444444444446"/>
    <s v="Calibrate scales check spliter chute 292 code switch to crusher run big rock"/>
  </r>
  <r>
    <d v="2025-04-24T00:00:00"/>
    <x v="1"/>
    <x v="3"/>
    <m/>
    <n v="321"/>
    <n v="4333.5"/>
    <s v="3/8"/>
    <n v="0"/>
    <n v="57"/>
    <n v="2582"/>
    <m/>
    <n v="1559"/>
    <n v="1023"/>
    <n v="0"/>
    <m/>
    <n v="900"/>
    <n v="0"/>
    <n v="723"/>
    <n v="0"/>
    <n v="0"/>
    <s v="2.25-7"/>
    <s v="1.3=3"/>
    <n v="10"/>
    <n v="4.5"/>
    <n v="7.4999999999999997E-2"/>
    <n v="0.45"/>
    <m/>
    <m/>
    <n v="0"/>
    <n v="0"/>
    <n v="573.77777777777783"/>
    <n v="227.33333333333334"/>
    <m/>
    <n v="0"/>
    <n v="0.23606784354447907"/>
    <n v="0"/>
    <n v="0"/>
    <n v="0.23606784354447907"/>
    <n v="160.66666666666666"/>
    <n v="200"/>
    <n v="0"/>
    <n v="0"/>
    <n v="4205"/>
    <n v="934.44444444444446"/>
    <s v="Calibrate scales check spliter chute 292 code switch to crusher run big rock"/>
  </r>
  <r>
    <d v="2025-04-28T00:00:00"/>
    <x v="1"/>
    <x v="3"/>
    <m/>
    <n v="645"/>
    <n v="8707.5"/>
    <n v="1061.8902439024391"/>
    <s v="3/8"/>
    <n v="0"/>
    <n v="57"/>
    <m/>
    <n v="4486"/>
    <n v="2208"/>
    <n v="2278"/>
    <m/>
    <n v="1640"/>
    <n v="0"/>
    <n v="2315"/>
    <n v="0"/>
    <n v="0"/>
    <s v="2.25-7"/>
    <s v="1.3-3"/>
    <n v="10"/>
    <n v="8.1999999999999993"/>
    <n v="0.96470588235294108"/>
    <n v="0.82"/>
    <m/>
    <m/>
    <n v="0"/>
    <n v="0"/>
    <n v="547.07317073170736"/>
    <n v="269.26829268292687"/>
    <n v="277.80487804878049"/>
    <n v="0"/>
    <n v="0.25357450473729543"/>
    <n v="0.26161355153603216"/>
    <n v="0"/>
    <n v="0.51518805627332753"/>
    <n v="282.31707317073176"/>
    <n v="200.00000000000003"/>
    <n v="0"/>
    <n v="0"/>
    <n v="8441"/>
    <n v="1029.3902439024391"/>
    <s v="R breaker got hot"/>
  </r>
  <r>
    <d v="2025-04-29T00:00:00"/>
    <x v="1"/>
    <x v="3"/>
    <m/>
    <n v="599"/>
    <n v="8086.5"/>
    <n v="1010.8125"/>
    <s v="3/8"/>
    <n v="0"/>
    <n v="57"/>
    <m/>
    <n v="3795"/>
    <n v="1444"/>
    <n v="2351"/>
    <m/>
    <n v="1600"/>
    <n v="0"/>
    <n v="2035"/>
    <n v="0"/>
    <n v="0"/>
    <s v="2.25-7"/>
    <s v="1.3-3"/>
    <n v="10"/>
    <n v="8"/>
    <n v="0.94117647058823528"/>
    <n v="0.8"/>
    <m/>
    <m/>
    <n v="0"/>
    <n v="0"/>
    <n v="474.375"/>
    <n v="180.5"/>
    <n v="293.875"/>
    <n v="0"/>
    <n v="0.17856922030544736"/>
    <n v="0.2907314660236196"/>
    <n v="0"/>
    <n v="0.46930068632906696"/>
    <n v="254.375"/>
    <n v="200"/>
    <n v="0"/>
    <n v="0"/>
    <n v="7430"/>
    <n v="928.75"/>
    <m/>
  </r>
  <r>
    <d v="2025-04-30T00:00:00"/>
    <x v="1"/>
    <x v="3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5-01T00:00:00"/>
    <x v="1"/>
    <x v="4"/>
    <m/>
    <n v="739"/>
    <n v="9976.5"/>
    <n v="1173.7058823529412"/>
    <s v="3/8"/>
    <n v="0"/>
    <n v="57"/>
    <m/>
    <n v="4762"/>
    <n v="2232"/>
    <n v="2530"/>
    <m/>
    <n v="1700"/>
    <n v="0"/>
    <n v="2574"/>
    <n v="0"/>
    <n v="0"/>
    <s v="2.25-7"/>
    <s v="1.3-3"/>
    <n v="10"/>
    <n v="8.5"/>
    <n v="1"/>
    <n v="0.85"/>
    <m/>
    <m/>
    <n v="0"/>
    <n v="0"/>
    <n v="560.23529411764707"/>
    <n v="262.58823529411762"/>
    <n v="297.64705882352939"/>
    <n v="0"/>
    <n v="0.22372575552548488"/>
    <n v="0.25359595048363653"/>
    <n v="0"/>
    <n v="0.47732170600912138"/>
    <n v="302.8235294117647"/>
    <n v="200"/>
    <n v="0"/>
    <n v="0"/>
    <n v="9036"/>
    <n v="1063.0588235294117"/>
    <s v="1316 crusher went down shows ground fault"/>
  </r>
  <r>
    <d v="2025-05-08T00:00:00"/>
    <x v="1"/>
    <x v="4"/>
    <m/>
    <n v="174"/>
    <n v="2349"/>
    <n v="1118.5714285714284"/>
    <s v="3/8"/>
    <n v="0"/>
    <n v="57"/>
    <m/>
    <n v="1178"/>
    <n v="488"/>
    <n v="690"/>
    <m/>
    <n v="420"/>
    <n v="0"/>
    <n v="525"/>
    <n v="0"/>
    <n v="0"/>
    <s v="2.25-7"/>
    <s v="1.3-3"/>
    <n v="10"/>
    <n v="2.1"/>
    <n v="0.24705882352941178"/>
    <n v="0.21000000000000002"/>
    <m/>
    <m/>
    <n v="0"/>
    <n v="0"/>
    <n v="560.95238095238096"/>
    <n v="232.38095238095238"/>
    <n v="328.57142857142856"/>
    <n v="0"/>
    <n v="0.2077479778629204"/>
    <n v="0.29374201787994891"/>
    <n v="0"/>
    <n v="0.50148999574286934"/>
    <n v="250"/>
    <n v="200"/>
    <n v="0"/>
    <n v="0"/>
    <n v="2123"/>
    <n v="1010.952380952381"/>
    <s v="1316 crusher faulted a ground code lyn boyer checked and cant find it."/>
  </r>
  <r>
    <d v="2025-05-09T00:00:00"/>
    <x v="1"/>
    <x v="4"/>
    <m/>
    <n v="95"/>
    <n v="1282.5"/>
    <n v="641.25"/>
    <s v="3/8"/>
    <n v="0"/>
    <n v="57"/>
    <m/>
    <n v="750"/>
    <n v="375"/>
    <n v="375"/>
    <m/>
    <n v="350"/>
    <n v="0"/>
    <n v="375"/>
    <n v="0"/>
    <n v="0"/>
    <s v="2.25-7"/>
    <s v="1.3-3"/>
    <n v="10"/>
    <n v="2"/>
    <n v="0.23529411764705882"/>
    <n v="0.2"/>
    <m/>
    <m/>
    <n v="0"/>
    <n v="0"/>
    <n v="375"/>
    <n v="187.5"/>
    <n v="187.5"/>
    <n v="0"/>
    <n v="0.29239766081871343"/>
    <n v="0.29239766081871343"/>
    <n v="0"/>
    <n v="0.58479532163742687"/>
    <n v="187.5"/>
    <n v="175"/>
    <n v="0"/>
    <n v="0"/>
    <n v="1475"/>
    <n v="737.5"/>
    <s v="Screen 2 bogged down shut down to clean up"/>
  </r>
  <r>
    <d v="2025-05-12T00:00:00"/>
    <x v="1"/>
    <x v="4"/>
    <m/>
    <n v="288"/>
    <n v="3888"/>
    <n v="972"/>
    <s v="3/8"/>
    <n v="0"/>
    <n v="57"/>
    <m/>
    <n v="1602"/>
    <n v="802"/>
    <n v="800"/>
    <m/>
    <n v="800"/>
    <n v="0"/>
    <n v="1224"/>
    <n v="0"/>
    <n v="0"/>
    <s v="2.25-7"/>
    <s v="1.3-3"/>
    <n v="10"/>
    <n v="4"/>
    <n v="0.47058823529411764"/>
    <n v="0.4"/>
    <m/>
    <m/>
    <n v="0"/>
    <n v="0"/>
    <n v="400.5"/>
    <n v="200.5"/>
    <n v="200"/>
    <n v="0"/>
    <n v="0.20627572016460904"/>
    <n v="0.20576131687242799"/>
    <n v="0"/>
    <n v="0.41203703703703703"/>
    <n v="306"/>
    <n v="200"/>
    <n v="0"/>
    <n v="0"/>
    <n v="3626"/>
    <n v="906.5"/>
    <s v="Cleaned up around kleemen patched hole in beam on 13x16 crusher"/>
  </r>
  <r>
    <d v="2025-05-13T00:00:00"/>
    <x v="1"/>
    <x v="4"/>
    <m/>
    <n v="395"/>
    <n v="5332.5"/>
    <n v="1025.4807692307693"/>
    <s v="3/8"/>
    <n v="0"/>
    <n v="57"/>
    <m/>
    <n v="2790"/>
    <n v="1395"/>
    <n v="1395"/>
    <m/>
    <n v="1040"/>
    <n v="0"/>
    <n v="1517"/>
    <n v="0"/>
    <n v="0"/>
    <s v="2.25-7"/>
    <s v="1.3-3"/>
    <n v="8"/>
    <n v="5.2"/>
    <n v="0.76470588235294124"/>
    <n v="0.65"/>
    <m/>
    <m/>
    <n v="0"/>
    <n v="0"/>
    <n v="536.53846153846155"/>
    <n v="268.26923076923077"/>
    <n v="268.26923076923077"/>
    <n v="0"/>
    <n v="0.26160337552742619"/>
    <n v="0.26160337552742619"/>
    <n v="0"/>
    <n v="0.52320675105485237"/>
    <n v="291.73076923076923"/>
    <n v="200"/>
    <n v="0"/>
    <n v="0"/>
    <n v="5347"/>
    <n v="1028.2692307692307"/>
    <s v="Replace v belts screen 2"/>
  </r>
  <r>
    <d v="2025-05-14T00:00:00"/>
    <x v="1"/>
    <x v="4"/>
    <m/>
    <n v="567"/>
    <n v="7654.5"/>
    <n v="1078.0985915492959"/>
    <s v="3/8"/>
    <n v="0"/>
    <n v="57"/>
    <m/>
    <n v="4019"/>
    <n v="1921"/>
    <n v="2098"/>
    <m/>
    <n v="1420"/>
    <n v="0"/>
    <n v="2573"/>
    <n v="0"/>
    <n v="0"/>
    <s v="2.25-7"/>
    <s v="1.3-3"/>
    <n v="10"/>
    <n v="7.1"/>
    <n v="0.83529411764705874"/>
    <n v="0.71"/>
    <m/>
    <m/>
    <n v="0"/>
    <n v="0"/>
    <n v="566.05633802816908"/>
    <n v="270.56338028169017"/>
    <n v="295.49295774647891"/>
    <n v="0"/>
    <n v="0.25096348553138675"/>
    <n v="0.27408713828466913"/>
    <n v="0"/>
    <n v="0.52505062381605594"/>
    <n v="362.3943661971831"/>
    <n v="200"/>
    <n v="0"/>
    <n v="0"/>
    <n v="8012"/>
    <n v="1128.4507042253522"/>
    <s v="292 code 5 minutes"/>
  </r>
  <r>
    <d v="2025-05-21T00:00:00"/>
    <x v="1"/>
    <x v="4"/>
    <m/>
    <n v="484"/>
    <n v="6534"/>
    <n v="1071.1475409836066"/>
    <s v="3/8"/>
    <n v="0"/>
    <n v="57"/>
    <m/>
    <n v="4188"/>
    <n v="1957"/>
    <n v="2231"/>
    <m/>
    <n v="2318"/>
    <n v="0"/>
    <n v="0"/>
    <n v="0"/>
    <n v="0"/>
    <s v="2.25-7"/>
    <s v="1.3-3"/>
    <n v="10"/>
    <n v="6.1"/>
    <n v="0.71764705882352942"/>
    <n v="0.61"/>
    <m/>
    <m/>
    <n v="0"/>
    <n v="0"/>
    <n v="686.55737704918033"/>
    <n v="320.81967213114757"/>
    <n v="365.73770491803282"/>
    <n v="0"/>
    <n v="0.29951025405570858"/>
    <n v="0.34144475053565965"/>
    <n v="0"/>
    <n v="0.64095500459136823"/>
    <n v="0"/>
    <n v="380"/>
    <n v="0"/>
    <n v="0"/>
    <n v="6506"/>
    <n v="1066.5573770491803"/>
    <s v="changed bearing on spliter belt"/>
  </r>
  <r>
    <d v="2025-05-22T00:00:00"/>
    <x v="1"/>
    <x v="4"/>
    <m/>
    <n v="200"/>
    <n v="2700"/>
    <n v="900"/>
    <s v="3/8"/>
    <n v="0"/>
    <n v="57"/>
    <m/>
    <n v="2096"/>
    <n v="1024"/>
    <n v="1072"/>
    <m/>
    <n v="600"/>
    <n v="0"/>
    <n v="345"/>
    <n v="0"/>
    <n v="0"/>
    <s v="2.25-7"/>
    <s v="1.3-3"/>
    <n v="10"/>
    <n v="3"/>
    <n v="0.35294117647058826"/>
    <n v="0.3"/>
    <m/>
    <m/>
    <n v="0"/>
    <n v="0"/>
    <n v="698.66666666666663"/>
    <n v="341.33333333333331"/>
    <n v="357.33333333333331"/>
    <n v="0"/>
    <n v="0.37925925925925924"/>
    <n v="0.39703703703703702"/>
    <n v="0"/>
    <n v="0.77629629629629626"/>
    <n v="115"/>
    <n v="200"/>
    <n v="0"/>
    <n v="0"/>
    <n v="3041"/>
    <n v="1013.6666666666666"/>
    <s v="waiting out weather"/>
  </r>
  <r>
    <d v="2025-05-23T00:00:00"/>
    <x v="1"/>
    <x v="4"/>
    <m/>
    <n v="544"/>
    <n v="7344"/>
    <n v="992.43243243243239"/>
    <s v="3/8"/>
    <n v="0"/>
    <n v="57"/>
    <m/>
    <n v="5480"/>
    <n v="2603"/>
    <n v="2877"/>
    <m/>
    <n v="2819"/>
    <n v="0"/>
    <n v="0"/>
    <n v="0"/>
    <n v="0"/>
    <s v="2.25-7"/>
    <s v="1.3-3"/>
    <n v="10"/>
    <n v="7.4"/>
    <n v="0.87058823529411766"/>
    <n v="0.74"/>
    <m/>
    <m/>
    <n v="0"/>
    <n v="0"/>
    <n v="740.54054054054052"/>
    <n v="351.75675675675672"/>
    <n v="388.78378378378375"/>
    <n v="0"/>
    <n v="0.35443899782135074"/>
    <n v="0.39174836601307189"/>
    <n v="0"/>
    <n v="0.74618736383442263"/>
    <n v="0"/>
    <n v="380.94594594594594"/>
    <n v="0"/>
    <n v="0"/>
    <n v="8299"/>
    <n v="1121.4864864864865"/>
    <s v="spiltter belt stopped 1 hour"/>
  </r>
  <r>
    <d v="2025-05-24T00:00:00"/>
    <x v="1"/>
    <x v="4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5-25T00:00:00"/>
    <x v="1"/>
    <x v="4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5-28T00:00:00"/>
    <x v="1"/>
    <x v="4"/>
    <m/>
    <n v="405"/>
    <n v="5467.5"/>
    <n v="994.09090909090912"/>
    <s v="3/8"/>
    <n v="0"/>
    <n v="57"/>
    <m/>
    <n v="2747"/>
    <n v="1402"/>
    <n v="1345"/>
    <m/>
    <n v="1100"/>
    <n v="0"/>
    <n v="1908"/>
    <n v="0"/>
    <n v="0"/>
    <s v="2.25-7"/>
    <s v="1.3-3"/>
    <n v="10"/>
    <n v="5.5"/>
    <n v="0.6470588235294118"/>
    <n v="0.55000000000000004"/>
    <m/>
    <m/>
    <n v="0"/>
    <n v="0"/>
    <n v="499.45454545454544"/>
    <n v="254.90909090909091"/>
    <n v="244.54545454545453"/>
    <n v="0"/>
    <n v="0.25642432556012801"/>
    <n v="0.24599908550525834"/>
    <n v="0"/>
    <n v="0.50242341106538635"/>
    <n v="346.90909090909093"/>
    <n v="200"/>
    <n v="0"/>
    <n v="0"/>
    <n v="5755"/>
    <n v="1046.3636363636365"/>
    <s v="Electrican done something to shut plant down"/>
  </r>
  <r>
    <d v="2025-05-29T00:00:00"/>
    <x v="1"/>
    <x v="4"/>
    <m/>
    <n v="597"/>
    <n v="8059.5"/>
    <n v="948.17647058823525"/>
    <s v="3/8"/>
    <n v="0"/>
    <n v="57"/>
    <m/>
    <n v="4139"/>
    <n v="2155"/>
    <n v="1984"/>
    <m/>
    <n v="1700"/>
    <n v="0"/>
    <n v="2591"/>
    <n v="0"/>
    <n v="0"/>
    <s v="2.25-7"/>
    <s v="1.3-3"/>
    <n v="10"/>
    <n v="8.5"/>
    <n v="1"/>
    <n v="0.85"/>
    <m/>
    <m/>
    <n v="0"/>
    <n v="0"/>
    <n v="486.94117647058823"/>
    <n v="253.52941176470588"/>
    <n v="233.41176470588235"/>
    <n v="0"/>
    <n v="0.26738631428748683"/>
    <n v="0.24616911719089274"/>
    <n v="0"/>
    <n v="0.51355543147837956"/>
    <n v="304.8235294117647"/>
    <n v="200"/>
    <n v="0"/>
    <n v="0"/>
    <n v="8430"/>
    <n v="991.76470588235293"/>
    <s v="Cat worked on 988 loaders AC"/>
  </r>
  <r>
    <d v="2025-05-30T00:00:00"/>
    <x v="1"/>
    <x v="4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5-31T00:00:00"/>
    <x v="1"/>
    <x v="4"/>
    <m/>
    <n v="496"/>
    <n v="6696"/>
    <n v="930"/>
    <s v="3/8"/>
    <n v="0"/>
    <n v="57"/>
    <m/>
    <n v="4683"/>
    <n v="2340"/>
    <n v="2343"/>
    <m/>
    <n v="2743"/>
    <n v="0"/>
    <n v="0"/>
    <n v="0"/>
    <n v="0"/>
    <s v="2.25-7"/>
    <s v="1.3-3"/>
    <n v="8"/>
    <n v="7.2"/>
    <n v="1.0588235294117647"/>
    <n v="0.9"/>
    <m/>
    <m/>
    <n v="0"/>
    <n v="0"/>
    <n v="650.41666666666663"/>
    <n v="325"/>
    <n v="325.41666666666669"/>
    <n v="0"/>
    <n v="0.34946236559139787"/>
    <n v="0.34991039426523296"/>
    <n v="0"/>
    <n v="0.69937275985663083"/>
    <n v="0"/>
    <n v="380.97222222222223"/>
    <n v="0"/>
    <n v="0"/>
    <n v="7426"/>
    <n v="1031.3888888888889"/>
    <m/>
  </r>
  <r>
    <d v="2025-06-01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03T00:00:00"/>
    <x v="1"/>
    <x v="5"/>
    <m/>
    <n v="870"/>
    <n v="11745"/>
    <n v="1198.4693877551019"/>
    <s v="3/8"/>
    <n v="0"/>
    <n v="57"/>
    <m/>
    <n v="7218"/>
    <n v="3113"/>
    <n v="4105"/>
    <m/>
    <n v="1960"/>
    <n v="0"/>
    <n v="1743"/>
    <n v="0"/>
    <n v="0"/>
    <s v="2.25-7"/>
    <s v="1.3-3"/>
    <n v="12"/>
    <n v="9.8000000000000007"/>
    <n v="0.96078431372549034"/>
    <n v="0.81666666666666676"/>
    <m/>
    <m/>
    <n v="0"/>
    <n v="0"/>
    <n v="736.53061224489795"/>
    <n v="317.65306122448976"/>
    <n v="418.87755102040813"/>
    <n v="0"/>
    <n v="0.26504895700297998"/>
    <n v="0.3495104299702001"/>
    <n v="0"/>
    <n v="0.61455938697318002"/>
    <n v="177.85714285714283"/>
    <n v="199.99999999999997"/>
    <n v="0"/>
    <n v="0"/>
    <n v="10921"/>
    <n v="1114.3877551020407"/>
    <s v="292 code 5 minutes"/>
  </r>
  <r>
    <d v="2025-06-04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05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06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09T00:00:00"/>
    <x v="1"/>
    <x v="5"/>
    <m/>
    <n v="369"/>
    <n v="4981.5"/>
    <n v="905.72727272727275"/>
    <s v="3/8"/>
    <n v="0"/>
    <n v="57"/>
    <m/>
    <n v="2617"/>
    <n v="1080"/>
    <n v="1537"/>
    <m/>
    <n v="1100"/>
    <n v="0"/>
    <n v="1591"/>
    <n v="0"/>
    <n v="0"/>
    <s v="2.25-7"/>
    <s v="1.3-3"/>
    <n v="8"/>
    <n v="5.5"/>
    <n v="0.80882352941176472"/>
    <n v="0.6875"/>
    <m/>
    <m/>
    <n v="0"/>
    <n v="0"/>
    <n v="475.81818181818181"/>
    <n v="196.36363636363637"/>
    <n v="279.45454545454544"/>
    <n v="0"/>
    <n v="0.21680216802168023"/>
    <n v="0.30854160393455787"/>
    <n v="0"/>
    <n v="0.52534377195623816"/>
    <n v="289.27272727272725"/>
    <n v="200"/>
    <n v="0"/>
    <n v="0"/>
    <n v="5308"/>
    <n v="965.09090909090901"/>
    <s v="Repair 57 belt riped in midde"/>
  </r>
  <r>
    <d v="2025-06-10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11T00:00:00"/>
    <x v="1"/>
    <x v="5"/>
    <m/>
    <n v="620"/>
    <n v="8370"/>
    <n v="984.70588235294122"/>
    <s v="3/8"/>
    <n v="0"/>
    <n v="57"/>
    <m/>
    <n v="4484"/>
    <n v="2042"/>
    <n v="2442"/>
    <m/>
    <n v="1700"/>
    <n v="0"/>
    <n v="2906"/>
    <n v="0"/>
    <n v="0"/>
    <s v="2.25-7"/>
    <s v="1.3-3"/>
    <n v="12"/>
    <n v="8.5"/>
    <n v="0.83333333333333337"/>
    <n v="0.70833333333333337"/>
    <m/>
    <m/>
    <n v="0"/>
    <n v="0"/>
    <n v="527.52941176470586"/>
    <n v="240.23529411764707"/>
    <n v="287.29411764705884"/>
    <n v="0"/>
    <n v="0.24396654719235364"/>
    <n v="0.2917562724014337"/>
    <n v="0"/>
    <n v="0.53572281959378731"/>
    <n v="341.88235294117646"/>
    <n v="200"/>
    <n v="0"/>
    <n v="0"/>
    <n v="9090"/>
    <n v="1069.4117647058824"/>
    <s v="Screen stopped, 304 code, rock stuck in shaker."/>
  </r>
  <r>
    <d v="2025-06-12T00:00:00"/>
    <x v="1"/>
    <x v="5"/>
    <m/>
    <n v="602"/>
    <n v="8127"/>
    <n v="956.11764705882354"/>
    <s v="3/8"/>
    <n v="0"/>
    <n v="57"/>
    <m/>
    <n v="4373"/>
    <n v="2650"/>
    <n v="1723"/>
    <m/>
    <n v="1700"/>
    <n v="0"/>
    <n v="3013"/>
    <n v="0"/>
    <n v="0"/>
    <s v="2.25-7"/>
    <s v="1.3-3"/>
    <n v="10"/>
    <n v="8.5"/>
    <n v="1"/>
    <n v="0.85"/>
    <m/>
    <m/>
    <n v="0"/>
    <n v="0"/>
    <n v="514.47058823529414"/>
    <n v="311.76470588235293"/>
    <n v="202.70588235294119"/>
    <n v="0"/>
    <n v="0.32607358188753538"/>
    <n v="0.21200935154423525"/>
    <n v="0"/>
    <n v="0.5380829334317706"/>
    <n v="354.47058823529414"/>
    <n v="200"/>
    <n v="0"/>
    <n v="0"/>
    <n v="9086"/>
    <n v="1068.9411764705883"/>
    <s v="292 code 10 minutes"/>
  </r>
  <r>
    <d v="2025-06-13T00:00:00"/>
    <x v="1"/>
    <x v="5"/>
    <m/>
    <n v="679"/>
    <n v="9166.5"/>
    <n v="964.89473684210532"/>
    <s v="3/8"/>
    <n v="0"/>
    <n v="57"/>
    <m/>
    <n v="4748"/>
    <n v="2827"/>
    <n v="1921"/>
    <m/>
    <n v="1900"/>
    <n v="0"/>
    <n v="3227"/>
    <n v="0"/>
    <n v="0"/>
    <s v="2.225-7"/>
    <s v="1.3-3"/>
    <n v="12"/>
    <n v="9.5"/>
    <n v="0.93137254901960786"/>
    <n v="0.79166666666666663"/>
    <m/>
    <m/>
    <n v="0"/>
    <n v="0"/>
    <n v="499.78947368421052"/>
    <n v="297.57894736842104"/>
    <n v="202.21052631578948"/>
    <n v="0"/>
    <n v="0.30840560737467954"/>
    <n v="0.20956744668084873"/>
    <n v="0"/>
    <n v="0.51797305405552829"/>
    <n v="339.68421052631578"/>
    <n v="200"/>
    <n v="0"/>
    <n v="0"/>
    <n v="9875"/>
    <n v="1039.4736842105262"/>
    <s v="2-304 codes 1-0292 code"/>
  </r>
  <r>
    <d v="2025-06-14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15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19T00:00:00"/>
    <x v="1"/>
    <x v="5"/>
    <m/>
    <n v="457"/>
    <n v="6169.5"/>
    <n v="1011.3934426229508"/>
    <s v="3/8"/>
    <n v="0"/>
    <n v="57"/>
    <m/>
    <n v="3949"/>
    <n v="2095"/>
    <n v="1854"/>
    <m/>
    <n v="2318"/>
    <n v="0"/>
    <n v="0"/>
    <n v="0"/>
    <n v="0"/>
    <s v="2.25_7"/>
    <s v="1.25-3"/>
    <n v="7"/>
    <n v="6.1"/>
    <n v="1.0252100840336134"/>
    <n v="0.87142857142857133"/>
    <m/>
    <m/>
    <n v="0"/>
    <n v="0"/>
    <n v="647.37704918032796"/>
    <n v="343.44262295081967"/>
    <n v="303.93442622950823"/>
    <n v="0"/>
    <n v="0.33957370937677284"/>
    <n v="0.30051057622173594"/>
    <n v="0"/>
    <n v="0.64008428559850872"/>
    <n v="0"/>
    <n v="380"/>
    <n v="0"/>
    <n v="0"/>
    <n v="6267"/>
    <n v="1027.377049180328"/>
    <s v="two 304 codes  4 292 codes"/>
  </r>
  <r>
    <d v="2025-06-20T00:00:00"/>
    <x v="1"/>
    <x v="5"/>
    <m/>
    <n v="237"/>
    <n v="3199.5"/>
    <n v="780.36585365853671"/>
    <s v="3/8"/>
    <n v="0"/>
    <n v="57"/>
    <m/>
    <n v="2096"/>
    <n v="1099"/>
    <n v="997"/>
    <m/>
    <n v="1558"/>
    <n v="0"/>
    <n v="0"/>
    <n v="0"/>
    <n v="0"/>
    <s v="2.25-7"/>
    <s v="1.25-3"/>
    <n v="10"/>
    <n v="4.0999999999999996"/>
    <n v="0.48235294117647054"/>
    <n v="0.41"/>
    <m/>
    <m/>
    <n v="0"/>
    <n v="0"/>
    <n v="511.21951219512198"/>
    <n v="268.04878048780489"/>
    <n v="243.17073170731709"/>
    <n v="0"/>
    <n v="0.34349117049538991"/>
    <n v="0.31161118924832004"/>
    <n v="0"/>
    <n v="0.65510235974371001"/>
    <n v="0"/>
    <n v="380.00000000000006"/>
    <n v="0"/>
    <n v="0"/>
    <n v="3654"/>
    <n v="891.21951219512198"/>
    <s v="14 - 304 codes"/>
  </r>
  <r>
    <d v="2025-06-21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22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25T00:00:00"/>
    <x v="1"/>
    <x v="5"/>
    <m/>
    <n v="409"/>
    <n v="5521.5"/>
    <n v="1061.8269230769231"/>
    <s v="3/8"/>
    <n v="0"/>
    <n v="57"/>
    <m/>
    <n v="3530"/>
    <n v="1334"/>
    <n v="2196"/>
    <m/>
    <n v="1995"/>
    <n v="0"/>
    <n v="0"/>
    <n v="0"/>
    <n v="0"/>
    <s v="2.25-7"/>
    <s v="1.25-3"/>
    <n v="10"/>
    <n v="5.2"/>
    <n v="0.61176470588235299"/>
    <n v="0.52"/>
    <m/>
    <m/>
    <n v="0"/>
    <n v="0"/>
    <n v="678.84615384615381"/>
    <n v="256.53846153846155"/>
    <n v="422.30769230769232"/>
    <n v="0"/>
    <n v="0.24160101421715113"/>
    <n v="0.39771801140994295"/>
    <n v="0"/>
    <n v="0.63931902562709408"/>
    <n v="0"/>
    <n v="383.65384615384613"/>
    <n v="0"/>
    <n v="0"/>
    <n v="5525"/>
    <n v="1062.5"/>
    <s v="14 304 codes"/>
  </r>
  <r>
    <d v="2025-06-26T00:00:00"/>
    <x v="1"/>
    <x v="5"/>
    <m/>
    <n v="178"/>
    <n v="2403"/>
    <n v="632.36842105263156"/>
    <s v="3/8"/>
    <n v="0"/>
    <n v="57"/>
    <m/>
    <n v="1434"/>
    <n v="633"/>
    <n v="801"/>
    <m/>
    <n v="1444"/>
    <n v="0"/>
    <n v="0"/>
    <n v="0"/>
    <n v="0"/>
    <s v="2.25-7"/>
    <s v="1.25-3"/>
    <n v="10"/>
    <n v="3.8"/>
    <n v="0.44705882352941173"/>
    <n v="0.38"/>
    <m/>
    <m/>
    <n v="0"/>
    <n v="0"/>
    <n v="377.36842105263162"/>
    <n v="166.57894736842107"/>
    <n v="210.78947368421055"/>
    <n v="0"/>
    <n v="0.26342072409488138"/>
    <n v="0.33333333333333331"/>
    <n v="0"/>
    <n v="0.59675405742821463"/>
    <n v="0"/>
    <n v="380"/>
    <n v="0"/>
    <n v="0"/>
    <n v="2878"/>
    <n v="757.36842105263167"/>
    <s v="11 304 cods"/>
  </r>
  <r>
    <d v="2025-06-27T00:00:00"/>
    <x v="1"/>
    <x v="5"/>
    <m/>
    <n v="363"/>
    <n v="4900.5"/>
    <n v="1400.1428571428571"/>
    <s v="3/8"/>
    <n v="0"/>
    <n v="57"/>
    <m/>
    <n v="2906"/>
    <n v="1398"/>
    <n v="1508"/>
    <m/>
    <n v="1349"/>
    <n v="0"/>
    <n v="0"/>
    <n v="0"/>
    <n v="0"/>
    <s v="2.25-7"/>
    <s v="1.25-3"/>
    <n v="10"/>
    <n v="3.5"/>
    <n v="0.41176470588235292"/>
    <n v="0.35"/>
    <m/>
    <m/>
    <n v="0"/>
    <n v="0"/>
    <n v="830.28571428571433"/>
    <n v="399.42857142857144"/>
    <n v="430.85714285714283"/>
    <n v="0"/>
    <n v="0.28527701254973981"/>
    <n v="0.30772370166309559"/>
    <n v="0"/>
    <n v="0.5930007142128354"/>
    <n v="0"/>
    <n v="385.42857142857144"/>
    <n v="0"/>
    <n v="0"/>
    <n v="4255"/>
    <n v="1215.7142857142858"/>
    <s v="15 304 codes"/>
  </r>
  <r>
    <d v="2025-06-28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6-29T00:00:00"/>
    <x v="1"/>
    <x v="5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7-03T00:00:00"/>
    <x v="1"/>
    <x v="6"/>
    <m/>
    <n v="406"/>
    <n v="5481"/>
    <n v="913.5"/>
    <s v="3/8"/>
    <n v="0"/>
    <n v="57"/>
    <m/>
    <n v="2681"/>
    <n v="1207"/>
    <n v="1474"/>
    <m/>
    <n v="1200"/>
    <n v="0"/>
    <n v="1766"/>
    <n v="0"/>
    <n v="0"/>
    <s v="2.25-7"/>
    <s v="1.25-3"/>
    <n v="8"/>
    <n v="6"/>
    <n v="0.88235294117647056"/>
    <n v="0.75"/>
    <m/>
    <m/>
    <n v="0"/>
    <n v="0"/>
    <n v="446.83333333333331"/>
    <n v="201.16666666666666"/>
    <n v="245.66666666666666"/>
    <n v="0"/>
    <n v="0.22021528918080643"/>
    <n v="0.2689290275497172"/>
    <n v="0"/>
    <n v="0.48914431673052361"/>
    <n v="294.33333333333331"/>
    <n v="200"/>
    <n v="0"/>
    <n v="0"/>
    <n v="5647"/>
    <n v="941.16666666666663"/>
    <s v="large rocks"/>
  </r>
  <r>
    <d v="2025-07-04T00:00:00"/>
    <x v="1"/>
    <x v="6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7-08T00:00:00"/>
    <x v="1"/>
    <x v="6"/>
    <m/>
    <n v="554"/>
    <n v="7479"/>
    <n v="997.2"/>
    <s v="3/8"/>
    <n v="0"/>
    <n v="57"/>
    <m/>
    <n v="5199"/>
    <n v="2602"/>
    <n v="2597"/>
    <m/>
    <n v="2850"/>
    <n v="0"/>
    <n v="0"/>
    <n v="0"/>
    <n v="0"/>
    <s v="2.5-7"/>
    <s v="1.25-3"/>
    <n v="10"/>
    <n v="7.5"/>
    <n v="0.88235294117647056"/>
    <n v="0.75"/>
    <m/>
    <m/>
    <n v="0"/>
    <n v="0"/>
    <n v="693.2"/>
    <n v="346.93333333333334"/>
    <n v="346.26666666666665"/>
    <n v="0"/>
    <n v="0.34790747426126489"/>
    <n v="0.34723893568658909"/>
    <n v="0"/>
    <n v="0.69514640994785393"/>
    <n v="0"/>
    <n v="380"/>
    <n v="0"/>
    <n v="0"/>
    <n v="8049"/>
    <n v="1073.2"/>
    <m/>
  </r>
  <r>
    <d v="2025-07-09T00:00:00"/>
    <x v="1"/>
    <x v="6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7-10T00:00:00"/>
    <x v="1"/>
    <x v="6"/>
    <m/>
    <n v="471"/>
    <n v="6358.5"/>
    <n v="1156.090909090909"/>
    <s v="3/8"/>
    <n v="0"/>
    <n v="57"/>
    <m/>
    <n v="4314"/>
    <n v="2075"/>
    <n v="2239"/>
    <m/>
    <n v="1976"/>
    <n v="0"/>
    <n v="0"/>
    <n v="0"/>
    <n v="0"/>
    <s v="2.5-7"/>
    <s v="1.25-3"/>
    <n v="10"/>
    <n v="5.5"/>
    <n v="0.6470588235294118"/>
    <n v="0.55000000000000004"/>
    <m/>
    <m/>
    <n v="0"/>
    <n v="0"/>
    <n v="784.36363636363637"/>
    <n v="377.27272727272725"/>
    <n v="407.09090909090907"/>
    <n v="0"/>
    <n v="0.32633482739639852"/>
    <n v="0.35212707399543919"/>
    <n v="0"/>
    <n v="0.67846190139183771"/>
    <n v="0"/>
    <n v="359.27272727272725"/>
    <n v="0"/>
    <n v="0"/>
    <n v="6290"/>
    <n v="1143.6363636363635"/>
    <s v="few 304 big rock"/>
  </r>
  <r>
    <d v="2025-07-11T00:00:00"/>
    <x v="1"/>
    <x v="6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7-12T00:00:00"/>
    <x v="1"/>
    <x v="6"/>
    <m/>
    <n v="503"/>
    <n v="6790.5"/>
    <n v="970.07142857142856"/>
    <s v="3/8"/>
    <n v="0"/>
    <n v="57"/>
    <m/>
    <n v="4911"/>
    <n v="2351"/>
    <n v="2560"/>
    <m/>
    <n v="2660"/>
    <n v="0"/>
    <n v="0"/>
    <n v="0"/>
    <n v="0"/>
    <s v="2.5-7"/>
    <s v="1.25-3"/>
    <n v="10"/>
    <n v="7"/>
    <n v="0.82352941176470584"/>
    <n v="0.7"/>
    <m/>
    <m/>
    <n v="0"/>
    <n v="0"/>
    <n v="701.57142857142856"/>
    <n v="335.85714285714283"/>
    <n v="365.71428571428572"/>
    <n v="0"/>
    <n v="0.34621898240188498"/>
    <n v="0.37699727560562551"/>
    <n v="0"/>
    <n v="0.72321625800751055"/>
    <n v="0"/>
    <n v="380"/>
    <n v="0"/>
    <n v="0"/>
    <n v="7571"/>
    <n v="1081.5714285714284"/>
    <s v="lightening 1 hour"/>
  </r>
  <r>
    <d v="2025-07-14T00:00:00"/>
    <x v="1"/>
    <x v="6"/>
    <m/>
    <n v="787"/>
    <n v="10624.5"/>
    <n v="1062.45"/>
    <s v="3/8"/>
    <n v="0"/>
    <n v="57"/>
    <m/>
    <n v="7051"/>
    <n v="3322"/>
    <n v="3729"/>
    <m/>
    <n v="3800"/>
    <n v="0"/>
    <n v="0"/>
    <n v="0"/>
    <n v="0"/>
    <s v="2.5-7"/>
    <s v="1.25-3"/>
    <n v="12"/>
    <n v="10"/>
    <n v="0.98039215686274517"/>
    <n v="0.83333333333333337"/>
    <m/>
    <m/>
    <n v="0"/>
    <n v="0"/>
    <n v="705.1"/>
    <n v="332.2"/>
    <n v="372.9"/>
    <n v="0"/>
    <n v="0.31267353757823896"/>
    <n v="0.35098122264577158"/>
    <n v="0"/>
    <n v="0.6636547602240106"/>
    <n v="0"/>
    <n v="380"/>
    <n v="0"/>
    <n v="0"/>
    <n v="10851"/>
    <n v="1085.0999999999999"/>
    <m/>
  </r>
  <r>
    <d v="2025-07-15T00:00:00"/>
    <x v="1"/>
    <x v="6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7-16T00:00:00"/>
    <x v="1"/>
    <x v="6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7-17T00:00:00"/>
    <x v="1"/>
    <x v="6"/>
    <m/>
    <n v="760"/>
    <n v="10260"/>
    <n v="967.92452830188688"/>
    <s v="3/8"/>
    <n v="0"/>
    <n v="57"/>
    <m/>
    <n v="6999"/>
    <n v="3276"/>
    <n v="3723"/>
    <m/>
    <n v="4028"/>
    <n v="0"/>
    <n v="0"/>
    <n v="0"/>
    <n v="0"/>
    <s v="2.5-7"/>
    <s v="1.25-3"/>
    <n v="10"/>
    <n v="10.6"/>
    <n v="1.2470588235294118"/>
    <n v="1.06"/>
    <m/>
    <m/>
    <n v="0"/>
    <n v="0"/>
    <n v="660.28301886792451"/>
    <n v="309.05660377358492"/>
    <n v="351.22641509433964"/>
    <n v="0"/>
    <n v="0.31929824561403508"/>
    <n v="0.36286549707602339"/>
    <n v="0"/>
    <n v="0.68216374269005842"/>
    <n v="0"/>
    <n v="380"/>
    <n v="0"/>
    <n v="0"/>
    <n v="11027"/>
    <n v="1040.2830188679245"/>
    <s v="1-304 code"/>
  </r>
  <r>
    <d v="2025-07-18T00:00:00"/>
    <x v="1"/>
    <x v="6"/>
    <m/>
    <n v="682"/>
    <n v="9207"/>
    <n v="1023"/>
    <s v="3/8"/>
    <n v="0"/>
    <n v="57"/>
    <m/>
    <n v="6047"/>
    <n v="2791"/>
    <n v="3256"/>
    <m/>
    <n v="3420"/>
    <n v="0"/>
    <n v="0"/>
    <n v="0"/>
    <n v="0"/>
    <s v="2.5-7"/>
    <s v="1.25-3"/>
    <n v="12"/>
    <n v="9"/>
    <n v="0.88235294117647067"/>
    <n v="0.75"/>
    <m/>
    <m/>
    <n v="0"/>
    <n v="0"/>
    <n v="671.88888888888891"/>
    <n v="310.11111111111109"/>
    <n v="361.77777777777777"/>
    <n v="0"/>
    <n v="0.30313891604214183"/>
    <n v="0.35364396654719238"/>
    <n v="0"/>
    <n v="0.65678288258933426"/>
    <n v="0"/>
    <n v="380"/>
    <n v="0"/>
    <n v="0"/>
    <n v="9467"/>
    <n v="1051.8888888888889"/>
    <s v="1-304 code   change return roller out on Chip #1"/>
  </r>
  <r>
    <d v="2025-07-21T00:00:00"/>
    <x v="1"/>
    <x v="6"/>
    <m/>
    <n v="695"/>
    <n v="9382.5"/>
    <n v="1042.5"/>
    <s v="3/8"/>
    <n v="0"/>
    <n v="57"/>
    <m/>
    <n v="6324"/>
    <n v="3094"/>
    <n v="3230"/>
    <m/>
    <n v="3420"/>
    <n v="0"/>
    <n v="0"/>
    <n v="0"/>
    <n v="0"/>
    <s v="2.5-7"/>
    <s v="1.25-3"/>
    <n v="12"/>
    <n v="9"/>
    <n v="0.88235294117647067"/>
    <n v="0.75"/>
    <m/>
    <m/>
    <n v="0"/>
    <n v="0"/>
    <n v="702.66666666666663"/>
    <n v="343.77777777777777"/>
    <n v="358.88888888888891"/>
    <n v="0"/>
    <n v="0.32976285638156144"/>
    <n v="0.34425792699173996"/>
    <n v="0"/>
    <n v="0.6740207833733014"/>
    <n v="0"/>
    <n v="380"/>
    <n v="0"/>
    <n v="0"/>
    <n v="9744"/>
    <n v="1082.6666666666665"/>
    <s v="4-304 codes due to coarse rock "/>
  </r>
  <r>
    <d v="2025-07-22T00:00:00"/>
    <x v="1"/>
    <x v="6"/>
    <m/>
    <n v="467"/>
    <n v="6304.5"/>
    <n v="1000.7142857142858"/>
    <s v="3/8"/>
    <n v="0"/>
    <n v="57"/>
    <m/>
    <n v="4215"/>
    <n v="2030"/>
    <n v="2185"/>
    <m/>
    <n v="2394"/>
    <n v="0"/>
    <n v="0"/>
    <n v="0"/>
    <n v="0"/>
    <s v="2.5-7"/>
    <s v="1.25-3"/>
    <n v="10"/>
    <n v="6.3"/>
    <n v="0.74117647058823533"/>
    <n v="0.63"/>
    <m/>
    <m/>
    <n v="0"/>
    <n v="0"/>
    <n v="669.04761904761904"/>
    <n v="322.22222222222223"/>
    <n v="346.82539682539681"/>
    <n v="0"/>
    <n v="0.32199222777381237"/>
    <n v="0.34657784122452218"/>
    <n v="0"/>
    <n v="0.66857006899833449"/>
    <n v="0"/>
    <n v="380"/>
    <n v="0"/>
    <n v="0"/>
    <n v="6609"/>
    <n v="1049.047619047619"/>
    <s v="9-304 codes  Cleaned out settling pond and changed bearing on splitter belt "/>
  </r>
  <r>
    <d v="2025-07-23T00:00:00"/>
    <x v="1"/>
    <x v="6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7-24T00:00:00"/>
    <x v="1"/>
    <x v="6"/>
    <m/>
    <n v="821"/>
    <n v="11083.5"/>
    <n v="1097.3762376237623"/>
    <s v="3/8"/>
    <n v="0"/>
    <n v="57"/>
    <m/>
    <n v="7242"/>
    <n v="3532"/>
    <n v="3710"/>
    <m/>
    <n v="3838"/>
    <n v="0"/>
    <n v="0"/>
    <n v="0"/>
    <n v="0"/>
    <s v="2.75-7"/>
    <s v="1.25-3"/>
    <n v="12"/>
    <n v="10.1"/>
    <n v="0.99019607843137258"/>
    <n v="0.84166666666666667"/>
    <m/>
    <m/>
    <n v="0"/>
    <n v="0"/>
    <n v="717.02970297029708"/>
    <n v="349.70297029702971"/>
    <n v="367.32673267326732"/>
    <n v="0"/>
    <n v="0.31867189967068166"/>
    <n v="0.3347318085442324"/>
    <n v="0"/>
    <n v="0.653403708214914"/>
    <n v="0"/>
    <n v="380"/>
    <n v="0"/>
    <n v="0"/>
    <n v="11080"/>
    <n v="1097.029702970297"/>
    <s v="4-304codes"/>
  </r>
  <r>
    <d v="2025-07-25T00:00:00"/>
    <x v="1"/>
    <x v="6"/>
    <m/>
    <n v="701"/>
    <n v="9463.5"/>
    <n v="1017.5806451612902"/>
    <s v="3/8"/>
    <n v="0"/>
    <n v="57"/>
    <m/>
    <n v="6128"/>
    <n v="2978"/>
    <n v="3150"/>
    <m/>
    <n v="3534"/>
    <n v="0"/>
    <n v="0"/>
    <n v="0"/>
    <n v="0"/>
    <s v="2.75-7"/>
    <s v="1.25-3"/>
    <n v="12"/>
    <n v="9.3000000000000007"/>
    <n v="0.91176470588235303"/>
    <n v="0.77500000000000002"/>
    <m/>
    <m/>
    <n v="0"/>
    <n v="0"/>
    <n v="658.92473118279565"/>
    <n v="320.21505376344084"/>
    <n v="338.70967741935482"/>
    <n v="0"/>
    <n v="0.3146827283774502"/>
    <n v="0.33285782215882076"/>
    <n v="0"/>
    <n v="0.64754055053627102"/>
    <n v="0"/>
    <n v="379.99999999999994"/>
    <n v="0"/>
    <n v="0"/>
    <n v="9662"/>
    <n v="1038.9247311827955"/>
    <s v="9-304 codes running coarse rock "/>
  </r>
  <r>
    <d v="2025-07-28T00:00:00"/>
    <x v="1"/>
    <x v="6"/>
    <m/>
    <n v="220"/>
    <n v="2970"/>
    <n v="990"/>
    <s v="3/8"/>
    <n v="0"/>
    <n v="57"/>
    <m/>
    <n v="2058"/>
    <n v="987"/>
    <n v="1071"/>
    <m/>
    <n v="600"/>
    <n v="0"/>
    <n v="0"/>
    <n v="0"/>
    <n v="0"/>
    <s v="2.75-7"/>
    <s v="1.25-3"/>
    <n v="12"/>
    <n v="3"/>
    <n v="0.29411764705882354"/>
    <n v="0.25"/>
    <m/>
    <m/>
    <n v="0"/>
    <n v="0"/>
    <n v="686"/>
    <n v="329"/>
    <n v="357"/>
    <n v="0"/>
    <n v="0.3323232323232323"/>
    <n v="0.3606060606060606"/>
    <n v="0"/>
    <n v="0.69292929292929295"/>
    <n v="0"/>
    <n v="200"/>
    <n v="0"/>
    <n v="0"/>
    <n v="2658"/>
    <n v="886"/>
    <s v="splice crusher run belt"/>
  </r>
  <r>
    <d v="2025-07-29T00:00:00"/>
    <x v="1"/>
    <x v="6"/>
    <m/>
    <n v="138"/>
    <n v="1863"/>
    <n v="232.875"/>
    <s v="3/8"/>
    <n v="0"/>
    <n v="57"/>
    <m/>
    <n v="1958"/>
    <n v="0"/>
    <n v="1958"/>
    <m/>
    <n v="1600"/>
    <n v="0"/>
    <n v="0"/>
    <n v="0"/>
    <n v="0"/>
    <s v="2.75-7"/>
    <s v="1.25-3"/>
    <n v="10"/>
    <n v="8"/>
    <n v="0.94117647058823528"/>
    <n v="0.8"/>
    <m/>
    <m/>
    <n v="0"/>
    <n v="0"/>
    <n v="244.75"/>
    <m/>
    <n v="244.75"/>
    <n v="0"/>
    <n v="0"/>
    <n v="1.0509930220075148"/>
    <n v="0"/>
    <n v="1.0509930220075148"/>
    <n v="0"/>
    <n v="200"/>
    <n v="0"/>
    <n v="0"/>
    <n v="3558"/>
    <n v="444.75"/>
    <s v="one 988 down feedinf at reduced rate till loader is fixed"/>
  </r>
  <r>
    <d v="2025-07-30T00:00:00"/>
    <x v="1"/>
    <x v="6"/>
    <m/>
    <n v="527"/>
    <n v="7114.5"/>
    <n v="1031.086956521739"/>
    <s v="3/8"/>
    <n v="0"/>
    <n v="57"/>
    <m/>
    <n v="4816"/>
    <n v="2591"/>
    <n v="2225"/>
    <m/>
    <n v="2622"/>
    <n v="0"/>
    <n v="0"/>
    <n v="0"/>
    <n v="0"/>
    <s v="2.75-7"/>
    <s v="1.25-3"/>
    <n v="9"/>
    <n v="6.9"/>
    <n v="0.90196078431372562"/>
    <n v="0.76666666666666672"/>
    <m/>
    <m/>
    <n v="0"/>
    <n v="0"/>
    <n v="697.97101449275362"/>
    <n v="375.50724637681157"/>
    <n v="322.463768115942"/>
    <n v="0"/>
    <n v="0.36418581769625413"/>
    <n v="0.31274158408883268"/>
    <n v="0"/>
    <n v="0.67692740178508681"/>
    <n v="0"/>
    <n v="380"/>
    <n v="0"/>
    <n v="0"/>
    <n v="7438"/>
    <n v="1077.9710144927535"/>
    <s v="shut down to adjust bars over loading screen  11 304 codes need to change bars"/>
  </r>
  <r>
    <d v="2025-07-31T00:00:00"/>
    <x v="1"/>
    <x v="6"/>
    <m/>
    <n v="745"/>
    <n v="10057.5"/>
    <n v="1142.8977272727273"/>
    <s v="3/8"/>
    <n v="0"/>
    <n v="57"/>
    <m/>
    <n v="6373"/>
    <n v="2884"/>
    <n v="3489"/>
    <m/>
    <n v="3344"/>
    <n v="0"/>
    <n v="0"/>
    <n v="0"/>
    <n v="0"/>
    <s v="2.75-7"/>
    <s v="1.25-3"/>
    <n v="11"/>
    <n v="8.8000000000000007"/>
    <n v="0.94117647058823539"/>
    <n v="0.8"/>
    <m/>
    <m/>
    <n v="0"/>
    <n v="0"/>
    <n v="724.20454545454538"/>
    <n v="327.72727272727269"/>
    <n v="396.47727272727269"/>
    <n v="0"/>
    <n v="0.28675118071091227"/>
    <n v="0.34690529455630126"/>
    <n v="0"/>
    <n v="0.63365647526721358"/>
    <n v="0"/>
    <n v="379.99999999999994"/>
    <n v="0"/>
    <n v="0"/>
    <n v="9717"/>
    <n v="1104.2045454545453"/>
    <s v="15 304 codes"/>
  </r>
  <r>
    <d v="2025-08-01T00:00:00"/>
    <x v="1"/>
    <x v="7"/>
    <m/>
    <n v="278"/>
    <n v="3753"/>
    <n v="834"/>
    <s v="3/8"/>
    <n v="0"/>
    <n v="57"/>
    <m/>
    <n v="2613"/>
    <n v="1179"/>
    <n v="1434"/>
    <m/>
    <n v="1735"/>
    <n v="0"/>
    <n v="0"/>
    <n v="0"/>
    <n v="0"/>
    <s v="2.75-7"/>
    <s v="1.25-3"/>
    <n v="11"/>
    <n v="4.5"/>
    <n v="0.48128342245989308"/>
    <n v="0.40909090909090912"/>
    <m/>
    <m/>
    <n v="0"/>
    <n v="0"/>
    <n v="580.66666666666663"/>
    <n v="262"/>
    <n v="318.66666666666669"/>
    <n v="0"/>
    <n v="0.31414868105515587"/>
    <n v="0.38209432454036768"/>
    <n v="0"/>
    <n v="0.69624300559552355"/>
    <n v="0"/>
    <n v="385.55555555555554"/>
    <n v="0"/>
    <n v="0"/>
    <n v="4348"/>
    <n v="966.22222222222217"/>
    <s v="292 code short Cr belt  changed breaker  "/>
  </r>
  <r>
    <d v="2025-08-02T00:00:00"/>
    <x v="1"/>
    <x v="7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8-05T00:00:00"/>
    <x v="1"/>
    <x v="7"/>
    <m/>
    <n v="716"/>
    <n v="9666"/>
    <n v="1017.4736842105264"/>
    <s v="3/8"/>
    <n v="0"/>
    <n v="57"/>
    <m/>
    <n v="6956"/>
    <n v="2946"/>
    <n v="4010"/>
    <m/>
    <n v="3610"/>
    <n v="0"/>
    <n v="0"/>
    <n v="0"/>
    <n v="0"/>
    <s v="2.5-7"/>
    <s v="1.75-3"/>
    <n v="12"/>
    <n v="9.5"/>
    <n v="0.93137254901960786"/>
    <n v="0.79166666666666663"/>
    <m/>
    <m/>
    <n v="0"/>
    <n v="0"/>
    <n v="732.21052631578948"/>
    <n v="310.10526315789474"/>
    <n v="422.10526315789474"/>
    <n v="0"/>
    <n v="0.30477963997517071"/>
    <n v="0.41485619697910203"/>
    <n v="0"/>
    <n v="0.7196358369542728"/>
    <n v="0"/>
    <n v="380"/>
    <n v="0"/>
    <n v="0"/>
    <n v="10566"/>
    <n v="1112.2105263157896"/>
    <s v="worked on splitter gates"/>
  </r>
  <r>
    <d v="2025-08-06T00:00:00"/>
    <x v="1"/>
    <x v="7"/>
    <m/>
    <n v="484"/>
    <n v="6534"/>
    <n v="920.28169014084517"/>
    <s v="3/8"/>
    <n v="0"/>
    <n v="57"/>
    <m/>
    <n v="4634"/>
    <n v="1906"/>
    <n v="2728"/>
    <m/>
    <n v="2698"/>
    <n v="0"/>
    <n v="0"/>
    <n v="0"/>
    <n v="0"/>
    <s v="2.5-7"/>
    <s v="1.75-3"/>
    <n v="10"/>
    <n v="7.1"/>
    <n v="0.83529411764705874"/>
    <n v="0.71"/>
    <m/>
    <m/>
    <n v="0"/>
    <n v="0"/>
    <n v="652.67605633802816"/>
    <n v="268.45070422535213"/>
    <n v="384.22535211267609"/>
    <n v="0"/>
    <n v="0.29170492806856441"/>
    <n v="0.4175084175084175"/>
    <n v="0"/>
    <n v="0.7092133455769819"/>
    <n v="0"/>
    <n v="380"/>
    <n v="0"/>
    <n v="0"/>
    <n v="7332"/>
    <n v="1032.676056338028"/>
    <s v="Stacker over bluff tail pulley came apart"/>
  </r>
  <r>
    <d v="2025-08-07T00:00:00"/>
    <x v="1"/>
    <x v="7"/>
    <m/>
    <n v="436"/>
    <n v="5886"/>
    <n v="1435.6097560975611"/>
    <s v="3/8"/>
    <n v="0"/>
    <n v="57"/>
    <m/>
    <n v="3804"/>
    <n v="1626"/>
    <n v="2178"/>
    <m/>
    <n v="1583"/>
    <n v="0"/>
    <n v="0"/>
    <n v="0"/>
    <n v="0"/>
    <s v="2.5-7"/>
    <s v="1.75-3"/>
    <n v="10"/>
    <n v="4.0999999999999996"/>
    <n v="0.48235294117647054"/>
    <n v="0.41"/>
    <m/>
    <m/>
    <n v="0"/>
    <n v="0"/>
    <n v="927.80487804878055"/>
    <n v="396.58536585365857"/>
    <n v="531.21951219512198"/>
    <n v="0"/>
    <n v="0.2762487257900102"/>
    <n v="0.37003058103975534"/>
    <n v="0"/>
    <n v="0.64627930682976553"/>
    <n v="0"/>
    <n v="386.09756097560978"/>
    <n v="0"/>
    <n v="0"/>
    <n v="5387"/>
    <n v="1313.9024390243903"/>
    <s v="Stockpiled  V belts come off screen feed #2"/>
  </r>
  <r>
    <d v="2025-08-08T00:00:00"/>
    <x v="1"/>
    <x v="7"/>
    <m/>
    <n v="662"/>
    <n v="8937"/>
    <n v="1015.5681818181818"/>
    <s v="3/8"/>
    <n v="0"/>
    <n v="57"/>
    <m/>
    <n v="6271"/>
    <n v="2594"/>
    <n v="3677"/>
    <m/>
    <n v="3356"/>
    <n v="0"/>
    <n v="0"/>
    <n v="0"/>
    <n v="0"/>
    <s v="2.5-7"/>
    <s v="1.25-3"/>
    <n v="12"/>
    <n v="8.8000000000000007"/>
    <n v="0.86274509803921584"/>
    <n v="0.73333333333333339"/>
    <m/>
    <m/>
    <n v="0"/>
    <n v="0"/>
    <n v="712.61363636363626"/>
    <n v="294.77272727272725"/>
    <n v="417.84090909090907"/>
    <n v="0"/>
    <n v="0.29025400022378872"/>
    <n v="0.41143560478907909"/>
    <n v="0"/>
    <n v="0.70168960501286781"/>
    <n v="0"/>
    <n v="381.36363636363632"/>
    <n v="0"/>
    <n v="0"/>
    <n v="9627"/>
    <n v="1093.9772727272725"/>
    <s v="Kleemen went down  no controle voltage"/>
  </r>
  <r>
    <d v="2025-08-11T00:00:00"/>
    <x v="1"/>
    <x v="7"/>
    <m/>
    <n v="749"/>
    <n v="10111.5"/>
    <n v="963"/>
    <s v="3/8"/>
    <n v="0"/>
    <n v="57"/>
    <m/>
    <n v="7148"/>
    <n v="2910"/>
    <n v="4238"/>
    <m/>
    <n v="3990"/>
    <n v="0"/>
    <n v="0"/>
    <n v="0"/>
    <n v="0"/>
    <s v="2.5-7"/>
    <s v="1.25-3"/>
    <n v="12"/>
    <n v="10.5"/>
    <n v="1.0294117647058825"/>
    <n v="0.875"/>
    <m/>
    <m/>
    <n v="0"/>
    <n v="0"/>
    <n v="680.76190476190482"/>
    <n v="277.14285714285717"/>
    <n v="403.61904761904759"/>
    <n v="0"/>
    <n v="0.28779112891262426"/>
    <n v="0.41912673688374624"/>
    <n v="0"/>
    <n v="0.7069178657963705"/>
    <n v="0"/>
    <n v="380"/>
    <n v="0"/>
    <n v="0"/>
    <n v="11138"/>
    <n v="1060.7619047619048"/>
    <m/>
  </r>
  <r>
    <d v="2025-08-12T00:00:00"/>
    <x v="1"/>
    <x v="7"/>
    <m/>
    <n v="647"/>
    <n v="8734.5"/>
    <n v="1134.3506493506493"/>
    <s v="3/8"/>
    <n v="0"/>
    <n v="57"/>
    <m/>
    <n v="5870"/>
    <n v="2415"/>
    <n v="3455"/>
    <m/>
    <n v="2926"/>
    <n v="0"/>
    <n v="0"/>
    <n v="0"/>
    <n v="0"/>
    <s v="2.5-7"/>
    <s v="1.25-3"/>
    <n v="12"/>
    <n v="7.7"/>
    <n v="0.75490196078431382"/>
    <n v="0.64166666666666672"/>
    <m/>
    <m/>
    <n v="0"/>
    <n v="0"/>
    <n v="762.33766233766232"/>
    <n v="313.63636363636363"/>
    <n v="448.7012987012987"/>
    <n v="0"/>
    <n v="0.27648978189936457"/>
    <n v="0.39555784532600607"/>
    <n v="0"/>
    <n v="0.67204762722537059"/>
    <n v="0"/>
    <n v="380"/>
    <n v="0"/>
    <n v="0"/>
    <n v="8796"/>
    <n v="1142.3376623376623"/>
    <s v="Repair hole in hopper, replace skirt board"/>
  </r>
  <r>
    <d v="2025-08-13T00:00:00"/>
    <x v="1"/>
    <x v="7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8-14T00:00:00"/>
    <x v="1"/>
    <x v="7"/>
    <m/>
    <n v="666"/>
    <n v="8991"/>
    <n v="977.28260869565224"/>
    <s v="3/8"/>
    <n v="0"/>
    <n v="57"/>
    <m/>
    <n v="6450"/>
    <n v="2721"/>
    <n v="3729"/>
    <m/>
    <n v="3496"/>
    <n v="0"/>
    <n v="0"/>
    <n v="0"/>
    <n v="0"/>
    <s v="2.25-7"/>
    <s v="1.25-3"/>
    <n v="12"/>
    <n v="9.1999999999999993"/>
    <n v="0.90196078431372551"/>
    <n v="0.76666666666666661"/>
    <m/>
    <m/>
    <n v="0"/>
    <n v="0"/>
    <n v="701.08695652173924"/>
    <n v="295.76086956521743"/>
    <n v="405.32608695652175"/>
    <n v="0"/>
    <n v="0.30263596930263598"/>
    <n v="0.41474808141474806"/>
    <n v="0"/>
    <n v="0.71738405071738409"/>
    <n v="0"/>
    <n v="380.00000000000006"/>
    <n v="0"/>
    <n v="0"/>
    <n v="9946"/>
    <n v="1081.0869565217392"/>
    <s v="breaker tripped on splitter feed"/>
  </r>
  <r>
    <d v="2025-08-15T00:00:00"/>
    <x v="1"/>
    <x v="7"/>
    <m/>
    <n v="689"/>
    <n v="9301.5"/>
    <n v="930.15"/>
    <s v="3/8"/>
    <n v="0"/>
    <n v="57"/>
    <m/>
    <n v="6580"/>
    <n v="2749"/>
    <n v="3831"/>
    <m/>
    <n v="3800"/>
    <n v="0"/>
    <n v="0"/>
    <n v="0"/>
    <n v="0"/>
    <s v="2.25-7"/>
    <s v="1.25-3"/>
    <n v="12"/>
    <n v="10"/>
    <n v="0.98039215686274517"/>
    <n v="0.83333333333333337"/>
    <m/>
    <m/>
    <n v="0"/>
    <n v="0"/>
    <n v="658"/>
    <n v="274.89999999999998"/>
    <n v="383.1"/>
    <n v="0"/>
    <n v="0.29554372950599367"/>
    <n v="0.41186905337848734"/>
    <n v="0"/>
    <n v="0.70741278288448095"/>
    <n v="0"/>
    <n v="380"/>
    <n v="0"/>
    <n v="0"/>
    <n v="10380"/>
    <n v="1038"/>
    <m/>
  </r>
  <r>
    <d v="2025-08-16T00:00:00"/>
    <x v="1"/>
    <x v="7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8-19T00:00:00"/>
    <x v="1"/>
    <x v="7"/>
    <m/>
    <n v="645"/>
    <n v="8707.5"/>
    <n v="1024.4117647058824"/>
    <s v="3/8"/>
    <n v="0"/>
    <n v="57"/>
    <m/>
    <n v="6420"/>
    <n v="2720"/>
    <n v="3700"/>
    <m/>
    <n v="3230"/>
    <n v="0"/>
    <n v="0"/>
    <n v="0"/>
    <n v="0"/>
    <s v="2.25-7"/>
    <s v="1.25=3"/>
    <n v="12"/>
    <n v="8.5"/>
    <n v="0.83333333333333337"/>
    <n v="0.70833333333333337"/>
    <m/>
    <m/>
    <n v="0"/>
    <n v="0"/>
    <n v="755.29411764705878"/>
    <n v="320"/>
    <n v="435.29411764705884"/>
    <n v="0"/>
    <n v="0.31237438989376975"/>
    <n v="0.42492104507608386"/>
    <n v="0"/>
    <n v="0.73729543496985361"/>
    <n v="0"/>
    <n v="380"/>
    <n v="0"/>
    <n v="0"/>
    <n v="9650"/>
    <n v="1135.2941176470588"/>
    <s v="replace skirt rubber on 13x16 discharge."/>
  </r>
  <r>
    <d v="2025-08-20T00:00:00"/>
    <x v="1"/>
    <x v="7"/>
    <m/>
    <n v="509"/>
    <n v="6871.5"/>
    <n v="941.30136986301375"/>
    <s v="3/8"/>
    <n v="0"/>
    <n v="57"/>
    <m/>
    <n v="5260"/>
    <n v="2181"/>
    <n v="3079"/>
    <m/>
    <n v="2774"/>
    <n v="0"/>
    <n v="0"/>
    <n v="0"/>
    <n v="0"/>
    <s v="2.25-7"/>
    <s v="1.25-3"/>
    <n v="12"/>
    <n v="7.3"/>
    <n v="0.71568627450980393"/>
    <n v="0.60833333333333328"/>
    <m/>
    <m/>
    <n v="0"/>
    <n v="0"/>
    <n v="720.54794520547944"/>
    <n v="298.76712328767127"/>
    <n v="421.78082191780823"/>
    <n v="0"/>
    <n v="0.31739794804627808"/>
    <n v="0.44808266026340682"/>
    <n v="0"/>
    <n v="0.7654806083096849"/>
    <n v="0"/>
    <n v="380"/>
    <n v="0"/>
    <n v="0"/>
    <n v="8034"/>
    <n v="1100.5479452054794"/>
    <s v="Worked on a belt? Breaker tripped shut feed tp splitter down. "/>
  </r>
  <r>
    <d v="2025-08-21T00:00:00"/>
    <x v="1"/>
    <x v="7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8-22T00:00:00"/>
    <x v="1"/>
    <x v="7"/>
    <m/>
    <n v="719"/>
    <n v="9706.5"/>
    <n v="1021.7368421052631"/>
    <s v="3/8"/>
    <n v="0"/>
    <n v="57"/>
    <m/>
    <n v="7069"/>
    <n v="2994"/>
    <n v="4075"/>
    <m/>
    <n v="3610"/>
    <n v="0"/>
    <n v="0"/>
    <n v="0"/>
    <n v="0"/>
    <s v="2.25-7"/>
    <s v="1.25-3"/>
    <n v="12"/>
    <n v="9.5"/>
    <n v="0.93137254901960786"/>
    <n v="0.79166666666666663"/>
    <m/>
    <m/>
    <n v="0"/>
    <n v="0"/>
    <n v="744.10526315789468"/>
    <n v="315.15789473684208"/>
    <n v="428.94736842105266"/>
    <n v="0"/>
    <n v="0.30845309843919022"/>
    <n v="0.41982176891773554"/>
    <n v="0"/>
    <n v="0.7282748673569257"/>
    <n v="0"/>
    <n v="380"/>
    <n v="0"/>
    <n v="0"/>
    <n v="10679"/>
    <n v="1124.1052631578946"/>
    <s v="13x16 feed belt stopped"/>
  </r>
  <r>
    <d v="2025-08-23T00:00:00"/>
    <x v="1"/>
    <x v="7"/>
    <m/>
    <n v="495"/>
    <n v="6682.5"/>
    <n v="997.38805970149247"/>
    <s v="3/8"/>
    <n v="0"/>
    <n v="57"/>
    <m/>
    <n v="4240"/>
    <n v="1773"/>
    <n v="2467"/>
    <m/>
    <n v="2546"/>
    <n v="0"/>
    <n v="0"/>
    <n v="0"/>
    <n v="0"/>
    <s v="2-7"/>
    <s v="1.25-3"/>
    <n v="10"/>
    <n v="6.7"/>
    <n v="0.78823529411764703"/>
    <n v="0.67"/>
    <m/>
    <m/>
    <n v="0"/>
    <n v="0"/>
    <n v="632.83582089552237"/>
    <n v="264.62686567164178"/>
    <n v="368.20895522388059"/>
    <n v="0"/>
    <n v="0.26531986531986534"/>
    <n v="0.36917321361765804"/>
    <n v="0"/>
    <n v="0.63449307893752338"/>
    <n v="0"/>
    <n v="380"/>
    <n v="0"/>
    <n v="0"/>
    <n v="6786"/>
    <n v="1012.8358208955224"/>
    <s v="13x16 feed tripped braker shut crusher down to adjust curtains"/>
  </r>
  <r>
    <d v="2025-08-24T00:00:00"/>
    <x v="1"/>
    <x v="7"/>
    <m/>
    <n v="582"/>
    <n v="7857"/>
    <n v="1076.3013698630136"/>
    <s v="3/8"/>
    <n v="0"/>
    <n v="57"/>
    <m/>
    <n v="5415"/>
    <n v="2272"/>
    <n v="3143"/>
    <m/>
    <n v="2774"/>
    <n v="0"/>
    <n v="0"/>
    <n v="0"/>
    <n v="0"/>
    <s v="2-7"/>
    <s v="1.25-3"/>
    <n v="10"/>
    <n v="7.3"/>
    <n v="0.85882352941176465"/>
    <n v="0.73"/>
    <m/>
    <m/>
    <n v="0"/>
    <n v="0"/>
    <n v="741.78082191780823"/>
    <n v="311.23287671232879"/>
    <n v="430.54794520547944"/>
    <n v="0"/>
    <n v="0.28916889397989054"/>
    <n v="0.40002545500827286"/>
    <n v="0"/>
    <n v="0.68919434898816334"/>
    <n v="0"/>
    <n v="380"/>
    <n v="0"/>
    <n v="0"/>
    <n v="8189"/>
    <n v="1121.7808219178082"/>
    <s v="feed to 13x16 tripped out"/>
  </r>
  <r>
    <d v="2025-08-25T00:00:00"/>
    <x v="1"/>
    <x v="7"/>
    <m/>
    <n v="786"/>
    <n v="10611"/>
    <n v="1061.0999999999999"/>
    <s v="3/8"/>
    <n v="0"/>
    <n v="57"/>
    <m/>
    <n v="7246"/>
    <n v="4222"/>
    <n v="3024"/>
    <m/>
    <n v="3800"/>
    <n v="0"/>
    <n v="0"/>
    <n v="0"/>
    <n v="0"/>
    <s v="2-7"/>
    <s v="1.25-3"/>
    <n v="12"/>
    <n v="10"/>
    <n v="0.98039215686274517"/>
    <n v="0.83333333333333337"/>
    <m/>
    <m/>
    <n v="0"/>
    <n v="0"/>
    <n v="724.6"/>
    <n v="422.2"/>
    <n v="302.39999999999998"/>
    <n v="0"/>
    <n v="0.39788898313071341"/>
    <n v="0.28498727735368956"/>
    <n v="0"/>
    <n v="0.68287626048440297"/>
    <n v="0"/>
    <n v="380"/>
    <n v="0"/>
    <n v="0"/>
    <n v="11046"/>
    <n v="1104.5999999999999"/>
    <s v="Feed to 13x16 tripped again."/>
  </r>
  <r>
    <d v="2025-08-26T00:00:00"/>
    <x v="1"/>
    <x v="7"/>
    <m/>
    <n v="637"/>
    <n v="8599.5"/>
    <n v="877.49999999999989"/>
    <s v="3/8"/>
    <n v="0"/>
    <n v="57"/>
    <m/>
    <n v="5954"/>
    <n v="2550"/>
    <n v="3404"/>
    <m/>
    <n v="2592"/>
    <n v="0"/>
    <n v="1157"/>
    <n v="0"/>
    <n v="0"/>
    <s v="2-7"/>
    <s v="1.25-3"/>
    <n v="12"/>
    <n v="9.8000000000000007"/>
    <n v="0.96078431372549034"/>
    <n v="0.81666666666666676"/>
    <m/>
    <m/>
    <n v="0"/>
    <n v="0"/>
    <n v="607.55102040816325"/>
    <n v="260.20408163265301"/>
    <n v="347.34693877551018"/>
    <n v="0"/>
    <n v="0.29652886795743938"/>
    <n v="0.39583696726553869"/>
    <n v="0"/>
    <n v="0.69236583522297801"/>
    <n v="118.0612244897959"/>
    <n v="264.48979591836735"/>
    <n v="0"/>
    <n v="0"/>
    <n v="9703"/>
    <n v="990.10204081632651"/>
    <s v="Fix bottom deck screen, "/>
  </r>
  <r>
    <d v="2025-08-27T00:00:00"/>
    <x v="1"/>
    <x v="7"/>
    <m/>
    <n v="489"/>
    <n v="6601.5"/>
    <n v="1158.1578947368421"/>
    <s v="3/8"/>
    <n v="0"/>
    <n v="57"/>
    <m/>
    <n v="2290"/>
    <n v="1100"/>
    <n v="1190"/>
    <m/>
    <n v="2160"/>
    <n v="0"/>
    <n v="1200"/>
    <n v="0"/>
    <n v="0"/>
    <s v="2-7"/>
    <s v="1.25-3"/>
    <n v="12"/>
    <n v="5.7"/>
    <n v="0.55882352941176472"/>
    <n v="0.47500000000000003"/>
    <m/>
    <m/>
    <n v="0"/>
    <n v="0"/>
    <n v="401.75438596491227"/>
    <n v="192.98245614035088"/>
    <n v="208.7719298245614"/>
    <n v="0"/>
    <n v="0.16662879648564721"/>
    <n v="0.18026206165265471"/>
    <n v="0"/>
    <n v="0.34689085813830189"/>
    <n v="210.52631578947367"/>
    <n v="378.9473684210526"/>
    <n v="0"/>
    <n v="0"/>
    <n v="5650"/>
    <n v="991.22807017543846"/>
    <s v="Tripp breaker on kleemen feed belt. 292 code crusher run belt"/>
  </r>
  <r>
    <d v="2025-08-28T00:00:00"/>
    <x v="1"/>
    <x v="7"/>
    <m/>
    <n v="716"/>
    <n v="9666"/>
    <n v="1098.4090909090908"/>
    <s v="3/8"/>
    <n v="0"/>
    <n v="57"/>
    <m/>
    <n v="6112"/>
    <n v="2733"/>
    <n v="3379"/>
    <m/>
    <n v="2578"/>
    <n v="0"/>
    <n v="788"/>
    <n v="0"/>
    <n v="0"/>
    <s v="2-7"/>
    <s v="1.25-3"/>
    <n v="12"/>
    <n v="8.8000000000000007"/>
    <n v="0.86274509803921584"/>
    <n v="0.73"/>
    <m/>
    <m/>
    <n v="0"/>
    <n v="0"/>
    <n v="694.5454545454545"/>
    <n v="310.56818181818181"/>
    <n v="383.97727272727269"/>
    <n v="0"/>
    <n v="0.28274363749224085"/>
    <n v="0.34957583281605625"/>
    <n v="0"/>
    <n v="0.63231947030829705"/>
    <n v="89.545454545454533"/>
    <n v="292.95454545454544"/>
    <n v="0"/>
    <n v="0"/>
    <n v="9478"/>
    <n v="1077.0454545454545"/>
    <m/>
  </r>
  <r>
    <d v="2025-08-29T00:00:00"/>
    <x v="1"/>
    <x v="7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9-03T00:00:00"/>
    <x v="1"/>
    <x v="8"/>
    <m/>
    <n v="722"/>
    <n v="9747"/>
    <n v="946.31067961165047"/>
    <s v="3/8"/>
    <n v="0"/>
    <n v="57"/>
    <m/>
    <n v="7691"/>
    <n v="3305"/>
    <n v="4386"/>
    <m/>
    <n v="3926"/>
    <n v="0"/>
    <n v="0"/>
    <n v="0"/>
    <n v="0"/>
    <s v="2--7"/>
    <s v="1.25-3"/>
    <n v="12"/>
    <n v="10.3"/>
    <n v="1.0098039215686276"/>
    <n v="0.85833333333333339"/>
    <m/>
    <m/>
    <n v="0"/>
    <n v="0"/>
    <n v="746.69902912621353"/>
    <n v="320.87378640776694"/>
    <n v="425.82524271844659"/>
    <n v="0"/>
    <n v="0.33907869087924492"/>
    <n v="0.44998461064943057"/>
    <n v="0"/>
    <n v="0.78906330152867543"/>
    <n v="0"/>
    <n v="381.1650485436893"/>
    <n v="0"/>
    <n v="0"/>
    <n v="11617"/>
    <n v="1127.8640776699028"/>
    <m/>
  </r>
  <r>
    <d v="2025-09-04T00:00:00"/>
    <x v="1"/>
    <x v="8"/>
    <m/>
    <n v="440"/>
    <n v="5940"/>
    <n v="913.84615384615381"/>
    <s v="3/8"/>
    <n v="0"/>
    <n v="57"/>
    <m/>
    <n v="3974"/>
    <n v="1740"/>
    <n v="2234"/>
    <m/>
    <n v="1330"/>
    <n v="0"/>
    <n v="1395"/>
    <n v="0"/>
    <n v="0"/>
    <s v="2-7"/>
    <s v="1.25-3"/>
    <n v="12"/>
    <n v="6.5"/>
    <n v="0.63725490196078438"/>
    <n v="0.54166666666666663"/>
    <m/>
    <m/>
    <n v="0"/>
    <n v="0"/>
    <n v="611.38461538461536"/>
    <n v="267.69230769230768"/>
    <n v="343.69230769230768"/>
    <n v="0"/>
    <n v="0.29292929292929293"/>
    <n v="0.37609427609427609"/>
    <n v="0"/>
    <n v="0.66902356902356908"/>
    <n v="214.61538461538461"/>
    <n v="204.61538461538461"/>
    <n v="0"/>
    <n v="0"/>
    <n v="6699"/>
    <n v="1030.6153846153845"/>
    <s v="Breaing on splitter feed belt on crusher run hopper"/>
  </r>
  <r>
    <d v="2025-09-05T00:00:00"/>
    <x v="1"/>
    <x v="8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9-06T00:00:00"/>
    <x v="1"/>
    <x v="8"/>
    <m/>
    <n v="536"/>
    <n v="7236"/>
    <n v="915.94936708860757"/>
    <s v="3/8"/>
    <n v="0"/>
    <n v="57"/>
    <m/>
    <n v="4917"/>
    <n v="2002"/>
    <n v="2915"/>
    <m/>
    <n v="3027"/>
    <n v="0"/>
    <n v="0"/>
    <n v="0"/>
    <n v="0"/>
    <s v="1.75-7"/>
    <s v="1.25-3"/>
    <n v="12"/>
    <n v="7.9"/>
    <n v="0.77450980392156876"/>
    <n v="0.65833333333333333"/>
    <m/>
    <m/>
    <n v="0"/>
    <n v="0"/>
    <n v="622.40506329113919"/>
    <n v="253.41772151898732"/>
    <n v="368.98734177215186"/>
    <n v="0"/>
    <n v="0.27667219458264236"/>
    <n v="0.40284687672747377"/>
    <n v="0"/>
    <n v="0.67951907131011613"/>
    <n v="0"/>
    <n v="383.1645569620253"/>
    <n v="0"/>
    <n v="0"/>
    <n v="7944"/>
    <n v="1005.5696202531644"/>
    <m/>
  </r>
  <r>
    <d v="2025-09-08T00:00:00"/>
    <x v="1"/>
    <x v="8"/>
    <m/>
    <n v="539"/>
    <n v="7276.5"/>
    <n v="983.31081081081072"/>
    <s v="3/8"/>
    <n v="0"/>
    <n v="57"/>
    <m/>
    <n v="5260"/>
    <n v="2034"/>
    <n v="3226"/>
    <m/>
    <n v="2812"/>
    <n v="0"/>
    <n v="0"/>
    <n v="0"/>
    <n v="0"/>
    <s v="1.75-7"/>
    <s v="1.25-3"/>
    <n v="12"/>
    <n v="7.4"/>
    <n v="0.72549019607843146"/>
    <n v="0.6166666666666667"/>
    <m/>
    <m/>
    <n v="0"/>
    <n v="0"/>
    <n v="710.81081081081072"/>
    <n v="274.86486486486484"/>
    <n v="435.94594594594594"/>
    <n v="0"/>
    <n v="0.27952999381570809"/>
    <n v="0.44334501477358618"/>
    <n v="0"/>
    <n v="0.72287500858929432"/>
    <n v="0"/>
    <n v="380"/>
    <n v="0"/>
    <n v="0"/>
    <n v="8072"/>
    <n v="1090.8108108108108"/>
    <s v="cleanup start at 9.45"/>
  </r>
  <r>
    <d v="2025-09-09T00:00:00"/>
    <x v="1"/>
    <x v="8"/>
    <m/>
    <n v="688"/>
    <n v="9288"/>
    <n v="977.68421052631584"/>
    <s v="3/8"/>
    <n v="0"/>
    <n v="57"/>
    <m/>
    <n v="6686"/>
    <n v="2860"/>
    <n v="3826"/>
    <m/>
    <n v="3610"/>
    <n v="0"/>
    <n v="0"/>
    <n v="0"/>
    <n v="0"/>
    <s v="1.75-7"/>
    <s v="1.25-3"/>
    <n v="12"/>
    <n v="9.5"/>
    <n v="0.93137254901960786"/>
    <n v="0.79166666666666663"/>
    <m/>
    <m/>
    <n v="0"/>
    <n v="0"/>
    <n v="703.78947368421052"/>
    <n v="301.05263157894734"/>
    <n v="402.73684210526318"/>
    <n v="0"/>
    <n v="0.30792420327304049"/>
    <n v="0.41192937123169682"/>
    <n v="0"/>
    <n v="0.7198535745047373"/>
    <n v="0"/>
    <n v="380"/>
    <n v="0"/>
    <n v="0"/>
    <n v="10296"/>
    <n v="1083.7894736842104"/>
    <m/>
  </r>
  <r>
    <d v="2025-09-10T00:00:00"/>
    <x v="1"/>
    <x v="8"/>
    <m/>
    <n v="583"/>
    <n v="7870.5"/>
    <n v="948.25301204819266"/>
    <s v="3/8"/>
    <n v="0"/>
    <n v="57"/>
    <m/>
    <n v="5196"/>
    <n v="2292"/>
    <n v="2904"/>
    <m/>
    <n v="3166"/>
    <n v="0"/>
    <n v="0"/>
    <n v="0"/>
    <n v="0"/>
    <s v="1.75-7"/>
    <s v="1.25-3"/>
    <n v="12"/>
    <n v="8.3000000000000007"/>
    <n v="0.81372549019607854"/>
    <n v="0.69166666666666676"/>
    <m/>
    <m/>
    <n v="0"/>
    <n v="0"/>
    <n v="626.02409638554207"/>
    <n v="276.14457831325296"/>
    <n v="349.8795180722891"/>
    <n v="0"/>
    <n v="0.29121402706308369"/>
    <n v="0.36897274633123689"/>
    <n v="0"/>
    <n v="0.66018677339432053"/>
    <n v="0"/>
    <n v="381.4457831325301"/>
    <n v="0"/>
    <n v="0"/>
    <n v="8362"/>
    <n v="1007.4698795180722"/>
    <s v="Belting underscreen ripped"/>
  </r>
  <r>
    <d v="2025-09-11T00:00:00"/>
    <x v="1"/>
    <x v="8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9-12T00:00:00"/>
    <x v="1"/>
    <x v="8"/>
    <m/>
    <n v="321"/>
    <n v="4333.5"/>
    <n v="1274.5588235294117"/>
    <s v="3/8"/>
    <n v="0"/>
    <n v="57"/>
    <m/>
    <n v="2635"/>
    <n v="1466"/>
    <n v="1169"/>
    <m/>
    <n v="1333"/>
    <n v="0"/>
    <n v="0"/>
    <n v="0"/>
    <n v="0"/>
    <s v="1.75-7"/>
    <s v="1.25-3"/>
    <n v="10"/>
    <n v="3.4"/>
    <n v="0.39999999999999997"/>
    <n v="0.33999999999999997"/>
    <m/>
    <m/>
    <n v="0"/>
    <n v="0"/>
    <n v="775"/>
    <n v="431.1764705882353"/>
    <n v="343.8235294117647"/>
    <n v="0"/>
    <n v="0.33829468097380871"/>
    <n v="0.26975885542863737"/>
    <n v="0"/>
    <n v="0.60805353640244608"/>
    <n v="0"/>
    <n v="392.05882352941177"/>
    <n v="0"/>
    <n v="0"/>
    <n v="3968"/>
    <n v="1167.0588235294117"/>
    <s v="Kleemen would not start a swith was tripped."/>
  </r>
  <r>
    <d v="2025-09-13T00:00:00"/>
    <x v="1"/>
    <x v="8"/>
    <m/>
    <n v="651"/>
    <n v="8788.5"/>
    <n v="998.69318181818176"/>
    <s v="3/8"/>
    <n v="0"/>
    <n v="57"/>
    <m/>
    <n v="6111"/>
    <n v="2621"/>
    <n v="3490"/>
    <m/>
    <n v="3344"/>
    <n v="0"/>
    <n v="0"/>
    <n v="0"/>
    <n v="0"/>
    <s v="1.75-7"/>
    <s v="1.25-3"/>
    <n v="10"/>
    <n v="8.8000000000000007"/>
    <n v="1.0352941176470589"/>
    <n v="0.88000000000000012"/>
    <m/>
    <m/>
    <n v="0"/>
    <n v="0"/>
    <n v="694.43181818181813"/>
    <n v="297.84090909090907"/>
    <n v="396.59090909090907"/>
    <n v="0"/>
    <n v="0.2982306423166638"/>
    <n v="0.39710985947545085"/>
    <n v="0"/>
    <n v="0.6953405017921146"/>
    <n v="0"/>
    <n v="379.99999999999994"/>
    <n v="0"/>
    <n v="0"/>
    <n v="9455"/>
    <n v="1074.431818181818"/>
    <m/>
  </r>
  <r>
    <d v="2025-09-15T00:00:00"/>
    <x v="1"/>
    <x v="8"/>
    <m/>
    <n v="820"/>
    <n v="11070"/>
    <n v="1034.5794392523364"/>
    <s v="3/8"/>
    <n v="0"/>
    <n v="57"/>
    <m/>
    <n v="7126"/>
    <n v="2990"/>
    <n v="4136"/>
    <m/>
    <n v="4085"/>
    <n v="0"/>
    <n v="0"/>
    <n v="0"/>
    <n v="0"/>
    <s v="1.75-7"/>
    <s v="1.25-3"/>
    <n v="12"/>
    <n v="10.7"/>
    <n v="1.0490196078431373"/>
    <n v="0.89166666666666661"/>
    <m/>
    <m/>
    <n v="0"/>
    <n v="0"/>
    <n v="665.98130841121497"/>
    <n v="279.43925233644859"/>
    <n v="386.54205607476638"/>
    <n v="0"/>
    <n v="0.27009936766034326"/>
    <n v="0.37362240289069559"/>
    <n v="0"/>
    <n v="0.64372177055103885"/>
    <n v="0"/>
    <n v="381.77570093457945"/>
    <n v="0"/>
    <n v="0"/>
    <n v="11211"/>
    <n v="1047.7570093457944"/>
    <m/>
  </r>
  <r>
    <d v="2025-09-16T00:00:00"/>
    <x v="1"/>
    <x v="8"/>
    <m/>
    <n v="336"/>
    <n v="4536"/>
    <n v="1134"/>
    <s v="38/8"/>
    <n v="0"/>
    <n v="57"/>
    <m/>
    <n v="2924"/>
    <n v="1207"/>
    <n v="1717"/>
    <m/>
    <n v="1900"/>
    <n v="0"/>
    <n v="0"/>
    <n v="0"/>
    <n v="0"/>
    <s v="1.75-7"/>
    <s v="1.25-3"/>
    <n v="8"/>
    <n v="4"/>
    <n v="0.58823529411764708"/>
    <n v="0.5"/>
    <m/>
    <m/>
    <n v="0"/>
    <n v="0"/>
    <n v="731"/>
    <n v="301.75"/>
    <n v="429.25"/>
    <n v="0"/>
    <n v="0.26609347442680775"/>
    <n v="0.37852733686067019"/>
    <n v="0"/>
    <n v="0.64462081128747795"/>
    <n v="0"/>
    <n v="475"/>
    <n v="0"/>
    <n v="0"/>
    <n v="4824"/>
    <n v="1206"/>
    <s v="rinsed for a while replaced skirt board rubber 13x16 discharge belt"/>
  </r>
  <r>
    <d v="2025-09-17T00:00:00"/>
    <x v="1"/>
    <x v="8"/>
    <m/>
    <n v="328"/>
    <n v="4428"/>
    <n v="1029.7674418604652"/>
    <s v="3/8"/>
    <n v="0"/>
    <n v="57"/>
    <m/>
    <n v="2257"/>
    <n v="1099"/>
    <n v="1158"/>
    <m/>
    <n v="1634"/>
    <n v="0"/>
    <n v="0"/>
    <n v="0"/>
    <n v="0"/>
    <s v="1.75-7"/>
    <s v="1.25-3"/>
    <n v="5"/>
    <n v="4.3"/>
    <n v="1.0117647058823529"/>
    <n v="0.86"/>
    <m/>
    <m/>
    <n v="0"/>
    <n v="0"/>
    <n v="524.88372093023258"/>
    <n v="255.58139534883722"/>
    <n v="269.30232558139534"/>
    <n v="0"/>
    <n v="0.248193315266486"/>
    <n v="0.26151761517615174"/>
    <n v="0"/>
    <n v="0.50971093044263771"/>
    <n v="0"/>
    <n v="380"/>
    <n v="0"/>
    <n v="0"/>
    <n v="3891"/>
    <n v="904.88372093023258"/>
    <s v="1 - 304 code rinsed part of the day"/>
  </r>
  <r>
    <d v="2025-09-18T00:00:00"/>
    <x v="1"/>
    <x v="8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9-19T00:00:00"/>
    <x v="1"/>
    <x v="8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9-22T00:00:00"/>
    <x v="1"/>
    <x v="8"/>
    <m/>
    <n v="721"/>
    <n v="9733.5"/>
    <n v="983.18181818181813"/>
    <s v="3/8"/>
    <n v="0"/>
    <n v="57"/>
    <m/>
    <n v="4708"/>
    <n v="2360"/>
    <n v="2348"/>
    <m/>
    <n v="1980"/>
    <n v="0"/>
    <n v="2970"/>
    <n v="0"/>
    <n v="0"/>
    <s v="1.75-7"/>
    <s v="1.25-3"/>
    <n v="12"/>
    <n v="9.9"/>
    <n v="0.97058823529411775"/>
    <n v="0.82500000000000007"/>
    <m/>
    <m/>
    <n v="0"/>
    <n v="0"/>
    <n v="475.55555555555554"/>
    <n v="238.38383838383837"/>
    <n v="237.17171717171718"/>
    <n v="0"/>
    <n v="0.24246160168490266"/>
    <n v="0.24122874608311501"/>
    <n v="0"/>
    <n v="0.48369034776801767"/>
    <n v="300"/>
    <n v="200"/>
    <n v="0"/>
    <n v="0"/>
    <n v="9658"/>
    <n v="975.55555555555554"/>
    <s v="superior screen down"/>
  </r>
  <r>
    <d v="2025-09-23T00:00:00"/>
    <x v="1"/>
    <x v="8"/>
    <m/>
    <n v="790"/>
    <n v="10665"/>
    <n v="1045.5882352941178"/>
    <s v="3/8"/>
    <n v="0"/>
    <n v="57"/>
    <m/>
    <n v="4987"/>
    <n v="2511"/>
    <n v="2476"/>
    <m/>
    <n v="2040"/>
    <n v="0"/>
    <n v="3060"/>
    <n v="0"/>
    <n v="0"/>
    <s v="1.75-7"/>
    <s v="1.25-3"/>
    <n v="12"/>
    <n v="10.199999999999999"/>
    <n v="1"/>
    <n v="0.85"/>
    <m/>
    <m/>
    <n v="0"/>
    <n v="0"/>
    <n v="488.92156862745099"/>
    <n v="246.1764705882353"/>
    <n v="242.74509803921569"/>
    <n v="0"/>
    <n v="0.23544303797468355"/>
    <n v="0.23216127519924989"/>
    <n v="0"/>
    <n v="0.46760431317393347"/>
    <n v="300"/>
    <n v="200"/>
    <n v="0"/>
    <n v="0"/>
    <n v="10087"/>
    <n v="988.92156862745105"/>
    <s v="Tag on hopper belt "/>
  </r>
  <r>
    <d v="2025-09-24T00:00:00"/>
    <x v="1"/>
    <x v="8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9-25T00:00:00"/>
    <x v="1"/>
    <x v="8"/>
    <m/>
    <n v="674"/>
    <n v="9099"/>
    <n v="938.04123711340208"/>
    <s v="3/8"/>
    <n v="0"/>
    <n v="57"/>
    <m/>
    <n v="4322"/>
    <n v="2175"/>
    <n v="2147"/>
    <m/>
    <n v="1940"/>
    <n v="0"/>
    <n v="2910"/>
    <n v="0"/>
    <n v="0"/>
    <s v="1.75-7"/>
    <s v="1.25-3"/>
    <n v="12"/>
    <n v="9.6999999999999993"/>
    <n v="0.9509803921568627"/>
    <n v="0.80833333333333324"/>
    <m/>
    <m/>
    <n v="0"/>
    <n v="0"/>
    <n v="445.56701030927837"/>
    <n v="224.22680412371136"/>
    <n v="221.34020618556701"/>
    <n v="0"/>
    <n v="0.23903725684141114"/>
    <n v="0.23595999560391251"/>
    <n v="0"/>
    <n v="0.47499725244532365"/>
    <n v="300"/>
    <n v="200.00000000000003"/>
    <n v="0"/>
    <n v="0"/>
    <n v="9172"/>
    <n v="945.56701030927843"/>
    <m/>
  </r>
  <r>
    <d v="2025-09-26T00:00:00"/>
    <x v="1"/>
    <x v="8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09-29T00:00:00"/>
    <x v="1"/>
    <x v="8"/>
    <m/>
    <n v="300"/>
    <n v="4050"/>
    <n v="1265.625"/>
    <s v="3/8"/>
    <n v="0"/>
    <n v="57"/>
    <m/>
    <n v="2187"/>
    <n v="990"/>
    <n v="1197"/>
    <m/>
    <n v="1216"/>
    <n v="0"/>
    <n v="0"/>
    <n v="0"/>
    <n v="0"/>
    <s v="1.75-7"/>
    <s v="1.25-3"/>
    <n v="6"/>
    <n v="3.2"/>
    <n v="0.62745098039215697"/>
    <n v="0.53333333333333333"/>
    <m/>
    <m/>
    <n v="0"/>
    <n v="0"/>
    <n v="683.4375"/>
    <n v="309.375"/>
    <n v="374.0625"/>
    <n v="0"/>
    <n v="0.24444444444444444"/>
    <n v="0.29555555555555557"/>
    <n v="0"/>
    <n v="0.54"/>
    <n v="0"/>
    <n v="380"/>
    <n v="0"/>
    <n v="0"/>
    <n v="3403"/>
    <n v="1063.4375"/>
    <s v="Changed all screen media out on superiors screen"/>
  </r>
  <r>
    <d v="2025-09-30T00:00:00"/>
    <x v="1"/>
    <x v="8"/>
    <m/>
    <n v="742"/>
    <n v="10017"/>
    <n v="1077.0967741935483"/>
    <s v="3/8"/>
    <n v="0"/>
    <n v="57"/>
    <m/>
    <n v="7044"/>
    <n v="3154"/>
    <n v="3890"/>
    <m/>
    <n v="3546"/>
    <n v="0"/>
    <n v="0"/>
    <n v="0"/>
    <n v="0"/>
    <s v="1.5-7"/>
    <s v="1-3"/>
    <n v="12"/>
    <n v="9.3000000000000007"/>
    <n v="0.91176470588235303"/>
    <n v="0.77500000000000002"/>
    <m/>
    <m/>
    <n v="0"/>
    <n v="0"/>
    <n v="757.41935483870964"/>
    <n v="339.13978494623655"/>
    <n v="418.27956989247309"/>
    <n v="0"/>
    <n v="0.31486472995906956"/>
    <n v="0.38833982230208647"/>
    <n v="0"/>
    <n v="0.70320455226115608"/>
    <n v="0"/>
    <n v="381.29032258064512"/>
    <n v="0"/>
    <n v="0"/>
    <n v="10590"/>
    <n v="1138.7096774193546"/>
    <s v="Fixed skirt board under screnn"/>
  </r>
  <r>
    <d v="2025-10-01T00:00:00"/>
    <x v="1"/>
    <x v="9"/>
    <m/>
    <n v="560"/>
    <n v="7560"/>
    <n v="1021.6216216216216"/>
    <s v="3/8"/>
    <n v="0"/>
    <n v="57"/>
    <m/>
    <n v="5278"/>
    <n v="2447"/>
    <n v="2831"/>
    <m/>
    <n v="2812"/>
    <n v="0"/>
    <n v="0"/>
    <n v="0"/>
    <n v="0"/>
    <s v="1.5-7"/>
    <s v="1-3"/>
    <n v="10"/>
    <n v="7.4"/>
    <n v="0.87058823529411766"/>
    <n v="0.74"/>
    <m/>
    <m/>
    <n v="0"/>
    <n v="0"/>
    <n v="713.24324324324323"/>
    <n v="330.67567567567568"/>
    <n v="382.56756756756755"/>
    <n v="0"/>
    <n v="0.32367724867724867"/>
    <n v="0.37447089947089945"/>
    <n v="0"/>
    <n v="0.69814814814814818"/>
    <n v="0"/>
    <n v="380"/>
    <n v="0"/>
    <n v="0"/>
    <n v="8090"/>
    <n v="1093.2432432432433"/>
    <s v="Kleemen tripperd breaker"/>
  </r>
  <r>
    <d v="2025-10-02T00:00:00"/>
    <x v="1"/>
    <x v="9"/>
    <m/>
    <n v="667"/>
    <n v="9004.5"/>
    <n v="1000.5"/>
    <s v="3/8"/>
    <n v="0"/>
    <n v="57"/>
    <m/>
    <n v="6361"/>
    <n v="2830"/>
    <n v="3531"/>
    <m/>
    <n v="3420"/>
    <n v="0"/>
    <n v="0"/>
    <n v="0"/>
    <n v="0"/>
    <s v="1.5-7"/>
    <s v="1-3"/>
    <n v="12"/>
    <n v="9"/>
    <n v="0.88235294117647067"/>
    <n v="0.75"/>
    <m/>
    <m/>
    <n v="0"/>
    <n v="0"/>
    <n v="706.77777777777783"/>
    <n v="314.44444444444446"/>
    <n v="392.33333333333331"/>
    <n v="0"/>
    <n v="0.31428730079404743"/>
    <n v="0.39213726470098287"/>
    <n v="0"/>
    <n v="0.7064245654950303"/>
    <n v="0"/>
    <n v="380"/>
    <n v="0"/>
    <n v="0"/>
    <n v="9781"/>
    <n v="1086.7777777777778"/>
    <m/>
  </r>
  <r>
    <d v="2025-10-03T00:00:00"/>
    <x v="1"/>
    <x v="9"/>
    <m/>
    <n v="674"/>
    <n v="9099"/>
    <n v="1011"/>
    <s v="3/8"/>
    <n v="0"/>
    <n v="57"/>
    <m/>
    <n v="6335"/>
    <n v="2913"/>
    <n v="3422"/>
    <m/>
    <n v="3420"/>
    <n v="0"/>
    <n v="0"/>
    <n v="0"/>
    <n v="0"/>
    <s v="1.5-7"/>
    <s v="1-3"/>
    <n v="12"/>
    <n v="9"/>
    <n v="0.88235294117647067"/>
    <n v="0.75"/>
    <m/>
    <m/>
    <n v="0"/>
    <n v="0"/>
    <n v="703.88888888888891"/>
    <n v="323.66666666666669"/>
    <n v="380.22222222222223"/>
    <n v="0"/>
    <n v="0.32014507088691063"/>
    <n v="0.37608528409715353"/>
    <n v="0"/>
    <n v="0.69623035498406416"/>
    <n v="0"/>
    <n v="380"/>
    <n v="0"/>
    <n v="0"/>
    <n v="9755"/>
    <n v="1083.8888888888889"/>
    <m/>
  </r>
  <r>
    <d v="2025-10-06T00:00:00"/>
    <x v="1"/>
    <x v="9"/>
    <m/>
    <n v="578"/>
    <n v="7803"/>
    <n v="1040.4000000000001"/>
    <s v="3/8"/>
    <n v="0"/>
    <n v="57"/>
    <m/>
    <n v="5457"/>
    <n v="2429"/>
    <n v="3028"/>
    <m/>
    <n v="2881"/>
    <n v="0"/>
    <n v="0"/>
    <n v="0"/>
    <n v="0"/>
    <s v="1.5-7"/>
    <s v="1-3"/>
    <n v="10"/>
    <n v="7.5"/>
    <n v="0.88235294117647056"/>
    <n v="0.75"/>
    <m/>
    <m/>
    <n v="0"/>
    <n v="0"/>
    <n v="727.6"/>
    <n v="323.86666666666667"/>
    <n v="403.73333333333335"/>
    <n v="0"/>
    <n v="0.31129052928360884"/>
    <n v="0.38805587594514929"/>
    <n v="0"/>
    <n v="0.69934640522875813"/>
    <n v="0"/>
    <n v="384.13333333333333"/>
    <n v="0"/>
    <n v="0"/>
    <n v="8338"/>
    <n v="1111.7333333333333"/>
    <s v="Cleaned settling pond out"/>
  </r>
  <r>
    <d v="2025-10-07T00:00:00"/>
    <x v="1"/>
    <x v="9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10-08T00:00:00"/>
    <x v="1"/>
    <x v="9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10-09T00:00:00"/>
    <x v="1"/>
    <x v="9"/>
    <m/>
    <n v="110"/>
    <n v="1485"/>
    <n v="1237.5"/>
    <s v="3/8"/>
    <n v="0"/>
    <n v="57"/>
    <m/>
    <n v="1023"/>
    <n v="550"/>
    <n v="473"/>
    <m/>
    <n v="456"/>
    <n v="0"/>
    <n v="0"/>
    <n v="0"/>
    <n v="0"/>
    <s v="1.5-7"/>
    <s v="1-3"/>
    <n v="12"/>
    <n v="1.2"/>
    <n v="0.11764705882352941"/>
    <n v="9.9999999999999992E-2"/>
    <m/>
    <m/>
    <n v="0"/>
    <n v="0"/>
    <n v="852.5"/>
    <n v="458.33333333333337"/>
    <n v="394.16666666666669"/>
    <n v="0"/>
    <n v="0.37037037037037035"/>
    <n v="0.31851851851851853"/>
    <n v="0"/>
    <n v="0.68888888888888888"/>
    <n v="0"/>
    <n v="380"/>
    <n v="0"/>
    <n v="0"/>
    <n v="1479"/>
    <n v="1232.5"/>
    <s v="Bearin out on 57 Satcker over the bluff and respliced"/>
  </r>
  <r>
    <d v="2025-10-10T00:00:00"/>
    <x v="1"/>
    <x v="9"/>
    <m/>
    <n v="593"/>
    <n v="8005.5"/>
    <n v="964.51807228915652"/>
    <s v="3/8"/>
    <n v="0"/>
    <n v="57"/>
    <m/>
    <n v="5638"/>
    <n v="2460"/>
    <n v="3178"/>
    <m/>
    <n v="3166"/>
    <n v="0"/>
    <n v="0"/>
    <n v="0"/>
    <n v="0"/>
    <s v="1.5-7"/>
    <s v="1-3"/>
    <n v="12"/>
    <n v="8.3000000000000007"/>
    <n v="0.81372549019607854"/>
    <n v="0.69166666666666676"/>
    <m/>
    <m/>
    <n v="0"/>
    <n v="0"/>
    <n v="679.27710843373484"/>
    <n v="296.38554216867465"/>
    <n v="382.89156626506019"/>
    <n v="0"/>
    <n v="0.30728873899194303"/>
    <n v="0.39697707825869716"/>
    <n v="0"/>
    <n v="0.70426581725064019"/>
    <n v="0"/>
    <n v="381.4457831325301"/>
    <n v="0"/>
    <n v="0"/>
    <n v="8804"/>
    <n v="1060.7228915662649"/>
    <s v="Big rock in crusher"/>
  </r>
  <r>
    <d v="2025-10-11T00:00:00"/>
    <x v="1"/>
    <x v="9"/>
    <m/>
    <n v="645"/>
    <n v="8707.5"/>
    <n v="967.5"/>
    <s v="3/8"/>
    <n v="0"/>
    <n v="57"/>
    <m/>
    <n v="5906"/>
    <n v="2301"/>
    <n v="3605"/>
    <m/>
    <n v="4085"/>
    <n v="0"/>
    <n v="0"/>
    <n v="0"/>
    <n v="0"/>
    <s v="1.5-7"/>
    <s v="1-3"/>
    <n v="12"/>
    <n v="9"/>
    <n v="0.88235294117647067"/>
    <n v="0.75"/>
    <m/>
    <m/>
    <n v="0"/>
    <n v="0"/>
    <n v="656.22222222222217"/>
    <n v="255.66666666666666"/>
    <n v="400.55555555555554"/>
    <n v="0"/>
    <n v="0.26425495262704563"/>
    <n v="0.41401091013494112"/>
    <n v="0"/>
    <n v="0.67826586276198675"/>
    <n v="0"/>
    <n v="453.88888888888891"/>
    <n v="0"/>
    <n v="0"/>
    <n v="9991"/>
    <n v="1110.1111111111111"/>
    <s v="304 code "/>
  </r>
  <r>
    <d v="2025-10-12T00:00:00"/>
    <x v="1"/>
    <x v="9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10-13T00:00:00"/>
    <x v="1"/>
    <x v="9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10-15T00:00:00"/>
    <x v="1"/>
    <x v="9"/>
    <m/>
    <n v="793"/>
    <n v="10705.5"/>
    <n v="1039.3689320388348"/>
    <s v="3/8"/>
    <n v="0"/>
    <n v="57"/>
    <m/>
    <n v="5652"/>
    <n v="2456"/>
    <n v="3196"/>
    <m/>
    <n v="4674"/>
    <n v="0"/>
    <n v="0"/>
    <n v="0"/>
    <n v="0"/>
    <s v="1.5/7"/>
    <s v="1-3"/>
    <n v="12"/>
    <n v="10.3"/>
    <n v="1.0098039215686276"/>
    <n v="0.85833333333333339"/>
    <m/>
    <m/>
    <n v="0"/>
    <n v="0"/>
    <n v="548.73786407766988"/>
    <n v="238.44660194174756"/>
    <n v="310.2912621359223"/>
    <n v="0"/>
    <n v="0.22941478679183597"/>
    <n v="0.29853813460370837"/>
    <n v="0"/>
    <n v="0.52795292139554428"/>
    <n v="0"/>
    <n v="453.78640776699024"/>
    <n v="0"/>
    <n v="0"/>
    <n v="10326"/>
    <n v="1002.5242718446601"/>
    <s v="1  -304 Code and 1 - Crusher door open code                                                                                 54htz"/>
  </r>
  <r>
    <d v="2025-10-16T00:00:00"/>
    <x v="1"/>
    <x v="9"/>
    <m/>
    <n v="814"/>
    <n v="10989"/>
    <n v="1072.0975609756097"/>
    <s v="3/8"/>
    <n v="0"/>
    <n v="57"/>
    <m/>
    <n v="6917"/>
    <n v="2936"/>
    <n v="3981"/>
    <m/>
    <n v="4652"/>
    <n v="0"/>
    <n v="0"/>
    <n v="0"/>
    <n v="0"/>
    <s v="1.5/7"/>
    <s v="1-3"/>
    <n v="12"/>
    <n v="10.25"/>
    <n v="1.0049019607843137"/>
    <n v="0.85416666666666663"/>
    <m/>
    <m/>
    <n v="0"/>
    <n v="0"/>
    <n v="674.82926829268297"/>
    <n v="286.4390243902439"/>
    <n v="388.39024390243901"/>
    <n v="0"/>
    <n v="0.26717626717626719"/>
    <n v="0.36227136227136225"/>
    <n v="0"/>
    <n v="0.62944762944762944"/>
    <n v="0"/>
    <n v="453.85365853658539"/>
    <n v="0"/>
    <n v="0"/>
    <n v="11569"/>
    <n v="1128.6829268292684"/>
    <s v="1 - Crusher door open code"/>
  </r>
  <r>
    <d v="2025-10-17T00:00:00"/>
    <x v="1"/>
    <x v="9"/>
    <m/>
    <n v="273"/>
    <n v="3685.5"/>
    <n v="1228.5"/>
    <s v="3/8"/>
    <n v="0"/>
    <n v="57"/>
    <m/>
    <n v="2291"/>
    <n v="900"/>
    <n v="1391"/>
    <m/>
    <n v="1140"/>
    <n v="0"/>
    <n v="0"/>
    <n v="0"/>
    <n v="0"/>
    <s v="1.5/7"/>
    <s v="1-3"/>
    <n v="12"/>
    <n v="3"/>
    <n v="0.29411764705882354"/>
    <n v="0.25"/>
    <m/>
    <m/>
    <n v="0"/>
    <n v="0"/>
    <n v="763.66666666666663"/>
    <n v="300"/>
    <n v="463.66666666666669"/>
    <n v="0"/>
    <n v="0.24420024420024419"/>
    <n v="0.37742504409171074"/>
    <n v="0"/>
    <n v="0.62162528829195496"/>
    <n v="0"/>
    <n v="380"/>
    <n v="0"/>
    <n v="0"/>
    <n v="3431"/>
    <n v="1143.6666666666665"/>
    <s v="Inner drive shaft bearing on screen # one went out "/>
  </r>
  <r>
    <d v="2025-10-18T00:00:00"/>
    <x v="1"/>
    <x v="9"/>
    <m/>
    <n v="417"/>
    <n v="5629.5"/>
    <n v="938.25"/>
    <s v="3/8"/>
    <n v="0"/>
    <n v="57"/>
    <m/>
    <n v="4229"/>
    <n v="1554"/>
    <n v="2675"/>
    <m/>
    <n v="2280"/>
    <n v="0"/>
    <n v="0"/>
    <n v="0"/>
    <n v="0"/>
    <s v="1.5/7"/>
    <s v="1-3"/>
    <n v="7"/>
    <n v="6"/>
    <n v="1.0084033613445378"/>
    <n v="0.8571428571428571"/>
    <m/>
    <m/>
    <n v="0"/>
    <n v="0"/>
    <n v="704.83333333333337"/>
    <n v="259"/>
    <n v="445.83333333333331"/>
    <n v="0"/>
    <n v="0.27604583000266453"/>
    <n v="0.47517541522337686"/>
    <n v="0"/>
    <n v="0.75122124522604139"/>
    <n v="0"/>
    <n v="380"/>
    <n v="0"/>
    <n v="0"/>
    <n v="6509"/>
    <n v="1084.8333333333335"/>
    <s v="292 Code Crusher run belt bogged down"/>
  </r>
  <r>
    <d v="2025-10-19T00:00:00"/>
    <x v="1"/>
    <x v="9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5-10-21T00:00:00"/>
    <x v="1"/>
    <x v="9"/>
    <m/>
    <n v="803"/>
    <n v="10840.5"/>
    <n v="1032.4285714285713"/>
    <s v="3/8"/>
    <n v="0"/>
    <n v="57"/>
    <m/>
    <n v="7571"/>
    <n v="3001"/>
    <n v="4570"/>
    <m/>
    <n v="3990"/>
    <n v="0"/>
    <n v="0"/>
    <n v="0"/>
    <n v="0"/>
    <s v="1.5/7"/>
    <s v="1-3"/>
    <n v="12"/>
    <n v="10.5"/>
    <n v="1.0294117647058825"/>
    <n v="0.875"/>
    <m/>
    <m/>
    <n v="0"/>
    <n v="0"/>
    <n v="721.04761904761904"/>
    <n v="285.8095238095238"/>
    <n v="435.23809523809524"/>
    <n v="0"/>
    <n v="0.27683224943498919"/>
    <n v="0.42156727088233936"/>
    <n v="0"/>
    <n v="0.69839952031732855"/>
    <n v="0"/>
    <n v="380"/>
    <n v="0"/>
    <n v="0"/>
    <n v="11561"/>
    <n v="1101.047619047619"/>
    <s v="304 code Big Rock"/>
  </r>
  <r>
    <d v="2025-10-22T00:00:00"/>
    <x v="1"/>
    <x v="9"/>
    <m/>
    <n v="470"/>
    <n v="6345"/>
    <n v="1015.2"/>
    <s v="3/8"/>
    <n v="0"/>
    <n v="57"/>
    <m/>
    <n v="4392"/>
    <n v="1797"/>
    <n v="2595"/>
    <m/>
    <n v="2375"/>
    <n v="0"/>
    <n v="0"/>
    <n v="0"/>
    <n v="0"/>
    <s v="1.5/7"/>
    <s v="1-3"/>
    <n v="12"/>
    <n v="6.25"/>
    <n v="0.61274509803921573"/>
    <n v="0.52083333333333337"/>
    <m/>
    <m/>
    <n v="0"/>
    <n v="0"/>
    <n v="702.72"/>
    <n v="287.52"/>
    <n v="415.2"/>
    <n v="0"/>
    <n v="0.28321513002364068"/>
    <n v="0.40898345153664301"/>
    <n v="0"/>
    <n v="0.69219858156028369"/>
    <n v="0"/>
    <n v="380"/>
    <n v="0"/>
    <n v="0"/>
    <n v="6767"/>
    <n v="1082.72"/>
    <s v="2 304 Codes from big rock and #1 screen drive belts "/>
  </r>
  <r>
    <d v="2025-10-23T00:00:00"/>
    <x v="1"/>
    <x v="9"/>
    <m/>
    <n v="469"/>
    <n v="6331.5"/>
    <n v="1055.25"/>
    <s v="3/8"/>
    <n v="0"/>
    <n v="57"/>
    <m/>
    <n v="4383"/>
    <n v="1722"/>
    <n v="2661"/>
    <m/>
    <n v="2280"/>
    <n v="0"/>
    <n v="0"/>
    <n v="0"/>
    <n v="0"/>
    <s v="1.5/7"/>
    <s v="1-3"/>
    <n v="12"/>
    <n v="6"/>
    <n v="0.58823529411764708"/>
    <n v="0.5"/>
    <m/>
    <m/>
    <n v="0"/>
    <n v="0"/>
    <n v="730.5"/>
    <n v="287"/>
    <n v="443.5"/>
    <n v="0"/>
    <n v="0.27197346600331673"/>
    <n v="0.42027955460791283"/>
    <n v="0"/>
    <n v="0.69225302061122962"/>
    <n v="0"/>
    <n v="380"/>
    <n v="0"/>
    <n v="0"/>
    <n v="6663"/>
    <n v="1110.5"/>
    <s v="3 292 Codes Belt feeding #1 screen slipped and causing  crusher to bog down"/>
  </r>
  <r>
    <d v="2025-10-24T00:00:00"/>
    <x v="1"/>
    <x v="9"/>
    <m/>
    <n v="308"/>
    <n v="4158"/>
    <n v="1039.5"/>
    <s v="3/8"/>
    <n v="0"/>
    <n v="57"/>
    <m/>
    <n v="2879"/>
    <n v="1091"/>
    <n v="1788"/>
    <m/>
    <n v="1520"/>
    <n v="0"/>
    <n v="0"/>
    <n v="0"/>
    <n v="0"/>
    <s v="1.5/7"/>
    <s v="1-3"/>
    <n v="12"/>
    <n v="4"/>
    <n v="0.39215686274509809"/>
    <n v="0.33333333333333331"/>
    <m/>
    <m/>
    <n v="0"/>
    <n v="0"/>
    <n v="719.75"/>
    <n v="272.75"/>
    <n v="447"/>
    <n v="0"/>
    <n v="0.26238576238576239"/>
    <n v="0.43001443001443002"/>
    <n v="0"/>
    <n v="0.69240019240019235"/>
    <n v="0"/>
    <n v="380"/>
    <n v="0"/>
    <n v="0"/>
    <n v="4399"/>
    <n v="1099.75"/>
    <s v="Crusher motor keep shuttiing down "/>
  </r>
  <r>
    <d v="2025-10-25T00:00:00"/>
    <x v="1"/>
    <x v="9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</r>
  <r>
    <d v="2026-01-06T00:00:00"/>
    <x v="2"/>
    <x v="0"/>
    <s v="D"/>
    <n v="557"/>
    <n v="6684"/>
    <n v="682.0408163265306"/>
    <s v="3/8"/>
    <n v="0"/>
    <n v="57"/>
    <m/>
    <n v="5950"/>
    <n v="2441"/>
    <n v="3509"/>
    <m/>
    <n v="3724"/>
    <n v="0"/>
    <n v="0"/>
    <n v="0"/>
    <n v="0"/>
    <s v="1.5-6"/>
    <s v="1-3"/>
    <n v="11"/>
    <n v="9.8000000000000007"/>
    <n v="6.2363636363636372"/>
    <n v="0.89090909090909098"/>
    <n v="0"/>
    <n v="0"/>
    <n v="0"/>
    <n v="0"/>
    <n v="607.14285714285711"/>
    <n v="249.08163265306121"/>
    <n v="358.0612244897959"/>
    <n v="0"/>
    <n v="0.36520047875523637"/>
    <n v="0.52498503889886294"/>
    <n v="0"/>
    <n v="0.89018551765409937"/>
    <n v="0"/>
    <n v="380"/>
    <n v="0"/>
    <n v="0"/>
    <n v="9674"/>
    <n v="987.14285714285711"/>
    <s v="Main breakerr tripped, shut down with no code, and feeder pan shut down"/>
  </r>
  <r>
    <d v="2026-01-07T00:00:00"/>
    <x v="2"/>
    <x v="0"/>
    <s v="D"/>
    <n v="375"/>
    <n v="4500"/>
    <n v="692.30769230769226"/>
    <s v="3/8"/>
    <n v="0"/>
    <n v="57"/>
    <m/>
    <n v="4365"/>
    <n v="1700"/>
    <n v="2665"/>
    <m/>
    <n v="2470"/>
    <n v="0"/>
    <n v="0"/>
    <n v="0"/>
    <n v="0"/>
    <s v="1.5-6"/>
    <s v="1-3"/>
    <n v="11"/>
    <n v="6.5"/>
    <n v="4.1363636363636367"/>
    <n v="0.59090909090909094"/>
    <n v="0"/>
    <n v="0"/>
    <n v="0"/>
    <n v="0"/>
    <n v="671.53846153846155"/>
    <n v="261.53846153846155"/>
    <n v="410"/>
    <n v="0"/>
    <n v="0.37777777777777777"/>
    <n v="0.59222222222222221"/>
    <n v="0"/>
    <n v="0.97"/>
    <n v="0"/>
    <n v="380"/>
    <n v="0"/>
    <n v="0"/>
    <n v="6835"/>
    <n v="1051.5384615384614"/>
    <s v="Work on spray bars and bit in crusher"/>
  </r>
  <r>
    <d v="2026-01-08T00:00:00"/>
    <x v="2"/>
    <x v="0"/>
    <s v="D"/>
    <n v="349"/>
    <n v="4188"/>
    <n v="654.375"/>
    <s v="3/8"/>
    <n v="0"/>
    <n v="57"/>
    <m/>
    <n v="5628"/>
    <n v="2310"/>
    <n v="3318"/>
    <m/>
    <n v="2432"/>
    <n v="0"/>
    <n v="0"/>
    <n v="0"/>
    <n v="0"/>
    <s v="1.5-6"/>
    <s v="1-3"/>
    <n v="11"/>
    <n v="6.4"/>
    <n v="4.0727272727272732"/>
    <n v="0.5818181818181819"/>
    <n v="0"/>
    <n v="0"/>
    <n v="0"/>
    <n v="0"/>
    <n v="879.375"/>
    <n v="360.9375"/>
    <n v="518.4375"/>
    <n v="0"/>
    <n v="0.5515759312320917"/>
    <n v="0.79226361031518622"/>
    <n v="0"/>
    <n v="1.3438395415472779"/>
    <n v="0"/>
    <n v="380"/>
    <n v="0"/>
    <n v="0"/>
    <n v="8060"/>
    <n v="1259.375"/>
    <s v="Storm came through, two 276 codes and power shut off to crusher "/>
  </r>
  <r>
    <d v="2026-01-09T00:00:00"/>
    <x v="2"/>
    <x v="0"/>
    <s v="D"/>
    <n v="592"/>
    <n v="7104"/>
    <n v="772.17391304347836"/>
    <s v="3/8"/>
    <n v="0"/>
    <n v="57"/>
    <m/>
    <n v="6248"/>
    <n v="2677"/>
    <n v="3571"/>
    <m/>
    <n v="3496"/>
    <n v="0"/>
    <n v="0"/>
    <n v="0"/>
    <n v="0"/>
    <s v="1.5-6"/>
    <s v="1-3"/>
    <n v="11"/>
    <n v="9.1999999999999993"/>
    <n v="5.8545454545454545"/>
    <n v="0.83636363636363631"/>
    <n v="0"/>
    <n v="0"/>
    <n v="0"/>
    <n v="0"/>
    <n v="679.13043478260875"/>
    <n v="290.97826086956525"/>
    <n v="388.1521739130435"/>
    <n v="0"/>
    <n v="0.37682995495495497"/>
    <n v="0.5026745495495496"/>
    <n v="0"/>
    <n v="0.87950450450450457"/>
    <n v="0"/>
    <n v="380.00000000000006"/>
    <n v="0"/>
    <n v="0"/>
    <n v="9744"/>
    <n v="1059.1304347826087"/>
    <s v="Bearing getting hot on washed #57 tail pulley"/>
  </r>
  <r>
    <d v="2026-01-12T00:00:00"/>
    <x v="2"/>
    <x v="0"/>
    <s v="D"/>
    <n v="385"/>
    <n v="4620"/>
    <n v="840"/>
    <s v="3/8"/>
    <n v="0"/>
    <n v="57"/>
    <m/>
    <n v="3503"/>
    <n v="1428"/>
    <n v="2075"/>
    <m/>
    <n v="2090"/>
    <n v="0"/>
    <n v="0"/>
    <n v="0"/>
    <n v="0"/>
    <s v="1.5-6"/>
    <s v="1-3"/>
    <n v="11"/>
    <n v="5.5"/>
    <n v="3.5"/>
    <n v="0.5"/>
    <n v="0"/>
    <n v="0"/>
    <n v="0"/>
    <n v="0"/>
    <n v="636.90909090909088"/>
    <n v="259.63636363636363"/>
    <n v="377.27272727272725"/>
    <n v="0"/>
    <n v="0.30909090909090908"/>
    <n v="0.44913419913419911"/>
    <n v="0"/>
    <n v="0.75822510822510814"/>
    <n v="0"/>
    <n v="380"/>
    <n v="0"/>
    <n v="0"/>
    <n v="5593"/>
    <n v="1016.9090909090909"/>
    <s v="Belt scrapper on crusher run #57 stacker ripped out two flexco's "/>
  </r>
  <r>
    <d v="2026-01-13T00:00:00"/>
    <x v="2"/>
    <x v="0"/>
    <s v="D"/>
    <n v="654"/>
    <n v="8829"/>
    <n v="832.92452830188677"/>
    <s v="3/8"/>
    <n v="0"/>
    <n v="57"/>
    <m/>
    <n v="7305"/>
    <n v="3068"/>
    <n v="4237"/>
    <m/>
    <n v="4028"/>
    <n v="0"/>
    <n v="0"/>
    <n v="0"/>
    <n v="0"/>
    <s v="1.5-6"/>
    <s v="1-3"/>
    <n v="11"/>
    <n v="10.6"/>
    <n v="6.7454545454545451"/>
    <n v="0.96363636363636362"/>
    <n v="0"/>
    <n v="0"/>
    <n v="0"/>
    <n v="0"/>
    <n v="689.15094339622647"/>
    <n v="289.43396226415098"/>
    <n v="399.71698113207549"/>
    <n v="0"/>
    <n v="0.34749122210895911"/>
    <n v="0.47989579793861137"/>
    <n v="0"/>
    <n v="0.82738702004757048"/>
    <n v="0"/>
    <n v="380"/>
    <n v="0"/>
    <n v="0"/>
    <n v="11333"/>
    <n v="1069.1509433962265"/>
    <s v="One 304 code"/>
  </r>
  <r>
    <d v="2026-01-14T00:00:00"/>
    <x v="2"/>
    <x v="0"/>
    <s v="D"/>
    <n v="742"/>
    <n v="10017"/>
    <n v="936.16822429906551"/>
    <s v="3/8"/>
    <n v="0"/>
    <n v="57"/>
    <m/>
    <n v="7879"/>
    <n v="3457"/>
    <n v="4422"/>
    <m/>
    <n v="4085"/>
    <n v="0"/>
    <n v="0"/>
    <n v="0"/>
    <n v="0"/>
    <s v="1.5-6"/>
    <s v="1-3"/>
    <n v="11"/>
    <n v="10.7"/>
    <n v="6.8090909090909086"/>
    <n v="0.97272727272727266"/>
    <n v="0"/>
    <n v="0"/>
    <n v="0"/>
    <n v="0"/>
    <n v="736.35514018691595"/>
    <n v="323.08411214953276"/>
    <n v="413.27102803738319"/>
    <n v="0"/>
    <n v="0.34511330737745832"/>
    <n v="0.44144953578915841"/>
    <n v="0"/>
    <n v="0.78656284316661673"/>
    <n v="0"/>
    <n v="381.77570093457945"/>
    <n v="0"/>
    <n v="0"/>
    <n v="11964"/>
    <n v="1118.1308411214955"/>
    <m/>
  </r>
  <r>
    <d v="2026-01-15T00:00:00"/>
    <x v="2"/>
    <x v="0"/>
    <s v="D"/>
    <n v="561"/>
    <n v="7573.5"/>
    <n v="1081.9285714285713"/>
    <s v="3/8"/>
    <n v="0"/>
    <n v="57"/>
    <m/>
    <n v="5360"/>
    <n v="2453"/>
    <n v="2907"/>
    <m/>
    <n v="2660"/>
    <n v="0"/>
    <n v="0"/>
    <n v="0"/>
    <n v="0"/>
    <s v="1.5-6"/>
    <s v="1-3"/>
    <n v="7.5"/>
    <n v="7"/>
    <n v="6.5333333333333332"/>
    <n v="0.93333333333333335"/>
    <n v="0"/>
    <n v="0"/>
    <n v="0"/>
    <n v="0"/>
    <n v="765.71428571428567"/>
    <n v="350.42857142857144"/>
    <n v="415.28571428571428"/>
    <n v="0"/>
    <n v="0.32389251997095136"/>
    <n v="0.38383838383838381"/>
    <n v="0"/>
    <n v="0.70773090380933512"/>
    <n v="0"/>
    <n v="380"/>
    <n v="0"/>
    <n v="0"/>
    <n v="8020"/>
    <n v="1145.7142857142858"/>
    <s v="Late start freezing, skirt board rubber crusher run #57, 1316 crusher filled up"/>
  </r>
  <r>
    <d v="2026-01-16T00:00:00"/>
    <x v="2"/>
    <x v="0"/>
    <s v="D"/>
    <m/>
    <n v="0"/>
    <s v=""/>
    <m/>
    <n v="0"/>
    <m/>
    <m/>
    <n v="0"/>
    <m/>
    <m/>
    <m/>
    <m/>
    <m/>
    <m/>
    <m/>
    <m/>
    <s v="1.5-6"/>
    <s v="1.3"/>
    <m/>
    <n v="0"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Re-washing"/>
  </r>
  <r>
    <d v="2026-01-19T00:00:00"/>
    <x v="2"/>
    <x v="0"/>
    <s v="D"/>
    <n v="618"/>
    <n v="8343"/>
    <n v="927"/>
    <s v="3/8"/>
    <n v="0"/>
    <n v="57"/>
    <m/>
    <n v="5846"/>
    <n v="2434"/>
    <n v="3412"/>
    <m/>
    <n v="3420"/>
    <n v="0"/>
    <n v="0"/>
    <n v="0"/>
    <n v="0"/>
    <s v="1.5-6"/>
    <s v="1-3"/>
    <n v="11"/>
    <n v="9"/>
    <n v="5.7272727272727275"/>
    <n v="0.81818181818181823"/>
    <n v="0"/>
    <n v="0"/>
    <n v="0"/>
    <n v="0"/>
    <n v="649.55555555555554"/>
    <n v="270.44444444444446"/>
    <n v="379.11111111111109"/>
    <n v="0"/>
    <n v="0.29174157976746973"/>
    <n v="0.40896559990411124"/>
    <n v="0"/>
    <n v="0.70070717967158092"/>
    <n v="0"/>
    <n v="380"/>
    <n v="0"/>
    <n v="0"/>
    <n v="9266"/>
    <n v="1029.5555555555557"/>
    <s v="Skirt board on flat return belt twice and clean out splitter chute"/>
  </r>
  <r>
    <d v="2026-01-20T00:00:00"/>
    <x v="2"/>
    <x v="0"/>
    <s v="D"/>
    <n v="158"/>
    <n v="2133"/>
    <n v="927.39130434782612"/>
    <s v="3/8"/>
    <n v="0"/>
    <n v="57"/>
    <m/>
    <n v="1563"/>
    <n v="678"/>
    <n v="885"/>
    <m/>
    <n v="2121"/>
    <n v="0"/>
    <n v="0"/>
    <n v="0"/>
    <n v="0"/>
    <s v="1.5-6"/>
    <s v="1-3"/>
    <n v="7"/>
    <n v="2.2999999999999998"/>
    <n v="2.2999999999999998"/>
    <n v="0.32857142857142857"/>
    <n v="0"/>
    <n v="0"/>
    <n v="0"/>
    <n v="0"/>
    <n v="679.56521739130437"/>
    <n v="294.78260869565219"/>
    <n v="384.78260869565219"/>
    <n v="0"/>
    <n v="0.31786216596343181"/>
    <n v="0.41490857946554149"/>
    <n v="0"/>
    <n v="0.73277074542897336"/>
    <n v="0"/>
    <n v="922.17391304347836"/>
    <n v="0"/>
    <n v="0"/>
    <n v="3684"/>
    <n v="1601.7391304347827"/>
    <s v="Below freezing and a lot of roots in shot rock hauled to bench "/>
  </r>
  <r>
    <d v="2026-01-21T00:00:00"/>
    <x v="2"/>
    <x v="0"/>
    <s v="D"/>
    <n v="661"/>
    <n v="8923.5"/>
    <n v="910.5612244897959"/>
    <s v="3/8"/>
    <n v="0"/>
    <n v="57"/>
    <m/>
    <n v="6793"/>
    <n v="2825"/>
    <n v="3968"/>
    <m/>
    <n v="3724"/>
    <n v="0"/>
    <n v="0"/>
    <n v="0"/>
    <n v="0"/>
    <s v="1.5-6"/>
    <s v="1-3"/>
    <n v="11"/>
    <n v="9.8000000000000007"/>
    <n v="6.2363636363636372"/>
    <n v="0.89090909090909098"/>
    <n v="0"/>
    <n v="0"/>
    <n v="0"/>
    <n v="0"/>
    <n v="693.16326530612241"/>
    <n v="288.26530612244898"/>
    <n v="404.89795918367344"/>
    <n v="0"/>
    <n v="0.31657981733624702"/>
    <n v="0.44466857174875329"/>
    <n v="0"/>
    <n v="0.76124838908500037"/>
    <n v="0"/>
    <n v="380"/>
    <n v="0"/>
    <n v="0"/>
    <n v="10517"/>
    <n v="1073.1632653061224"/>
    <s v="Work on spray bar, cut tag off and two 304 codes"/>
  </r>
  <r>
    <d v="2026-01-22T00:00:00"/>
    <x v="2"/>
    <x v="0"/>
    <s v="D"/>
    <n v="438"/>
    <n v="5913"/>
    <n v="1019.4827586206897"/>
    <s v="3/8"/>
    <n v="0"/>
    <n v="57"/>
    <m/>
    <n v="4191"/>
    <n v="1732"/>
    <n v="2459"/>
    <m/>
    <n v="2216"/>
    <n v="0"/>
    <n v="0"/>
    <n v="0"/>
    <n v="0"/>
    <s v="1.5-6"/>
    <s v="1-3"/>
    <n v="6"/>
    <n v="5.8"/>
    <n v="6.7666666666666666"/>
    <n v="0.96666666666666667"/>
    <n v="0"/>
    <n v="0"/>
    <n v="0"/>
    <n v="0"/>
    <n v="722.58620689655174"/>
    <n v="298.62068965517244"/>
    <n v="423.9655172413793"/>
    <n v="0"/>
    <n v="0.29291391848469472"/>
    <n v="0.41586335193641127"/>
    <n v="0"/>
    <n v="0.70877727042110594"/>
    <n v="0"/>
    <n v="382.06896551724139"/>
    <n v="0"/>
    <n v="0"/>
    <n v="6407"/>
    <n v="1104.655172413793"/>
    <s v="Late start dug out settling pond and shut down early so guys could get ready for storm"/>
  </r>
  <r>
    <d v="2026-01-23T00:00:00"/>
    <x v="2"/>
    <x v="0"/>
    <s v="D"/>
    <n v="0"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Not sure why we didn't run"/>
  </r>
  <r>
    <d v="2026-01-26T00:00:00"/>
    <x v="2"/>
    <x v="0"/>
    <s v="D"/>
    <n v="0"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Didn't work cold weather "/>
  </r>
  <r>
    <d v="2026-01-27T00:00:00"/>
    <x v="2"/>
    <x v="0"/>
    <s v="D"/>
    <n v="0"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Cleared roads and maintenance "/>
  </r>
  <r>
    <d v="2026-01-28T00:00:00"/>
    <x v="2"/>
    <x v="0"/>
    <s v="D"/>
    <n v="0"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Cleared roads and maintenance "/>
  </r>
  <r>
    <d v="2026-01-29T00:00:00"/>
    <x v="2"/>
    <x v="0"/>
    <s v="D"/>
    <n v="0"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Haul to paid and maintenance"/>
  </r>
  <r>
    <d v="2026-01-30T00:00:00"/>
    <x v="2"/>
    <x v="0"/>
    <s v="D"/>
    <n v="0"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Hauled to paid and maintenance"/>
  </r>
  <r>
    <d v="2026-02-02T00:00:00"/>
    <x v="2"/>
    <x v="1"/>
    <s v="D"/>
    <n v="0"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Electricans wiring up new washer and conveyor belt"/>
  </r>
  <r>
    <d v="2026-02-03T00:00:00"/>
    <x v="2"/>
    <x v="1"/>
    <s v="D"/>
    <n v="559"/>
    <n v="7546.5"/>
    <n v="847.92134831460669"/>
    <s v="3/8"/>
    <n v="0"/>
    <n v="57"/>
    <m/>
    <n v="5591"/>
    <n v="2147"/>
    <n v="3444"/>
    <m/>
    <n v="3382"/>
    <n v="0"/>
    <n v="0"/>
    <n v="0"/>
    <n v="0"/>
    <s v="1.5-6"/>
    <s v="1-3"/>
    <n v="11"/>
    <n v="8.9"/>
    <n v="5.663636363636364"/>
    <n v="0.80909090909090908"/>
    <n v="0"/>
    <n v="0"/>
    <n v="0"/>
    <n v="0"/>
    <n v="628.20224719101122"/>
    <n v="241.23595505617976"/>
    <n v="386.96629213483146"/>
    <n v="0"/>
    <n v="0.28450274961902872"/>
    <n v="0.45637050288213077"/>
    <n v="0"/>
    <n v="0.74087325250115943"/>
    <n v="0"/>
    <n v="380"/>
    <n v="0"/>
    <n v="0"/>
    <n v="8973"/>
    <n v="1008.2022471910112"/>
    <s v="Electricans had some of the belts running backwards after do some rewiring "/>
  </r>
  <r>
    <d v="2026-02-04T00:00:00"/>
    <x v="2"/>
    <x v="1"/>
    <s v="D"/>
    <n v="371"/>
    <n v="5008.5"/>
    <n v="1065.6382978723404"/>
    <s v="3/8"/>
    <n v="0"/>
    <n v="57"/>
    <m/>
    <n v="3232"/>
    <n v="1379"/>
    <n v="1853"/>
    <m/>
    <n v="1786"/>
    <n v="0"/>
    <n v="0"/>
    <n v="0"/>
    <n v="0"/>
    <s v="1.5-6"/>
    <s v="1-3"/>
    <n v="12"/>
    <n v="4.7"/>
    <n v="2.7416666666666671"/>
    <n v="0.39166666666666666"/>
    <n v="0"/>
    <n v="0"/>
    <n v="0"/>
    <n v="0"/>
    <n v="687.65957446808511"/>
    <n v="293.40425531914894"/>
    <n v="394.25531914893617"/>
    <n v="0"/>
    <n v="0.27533193570929421"/>
    <n v="0.36997104921633223"/>
    <n v="0"/>
    <n v="0.64530298492562643"/>
    <n v="0"/>
    <n v="380"/>
    <n v="0"/>
    <n v="0"/>
    <n v="5018"/>
    <n v="1067.6595744680851"/>
    <s v="VFD breaker, one 304 code and bearing on head pulley of screenings stacker "/>
  </r>
  <r>
    <d v="2026-02-05T00:00:00"/>
    <x v="2"/>
    <x v="1"/>
    <s v="D"/>
    <n v="537"/>
    <n v="7249.5"/>
    <n v="993.08219178082197"/>
    <s v="3/8"/>
    <n v="0"/>
    <n v="57"/>
    <m/>
    <n v="4751"/>
    <n v="1966"/>
    <n v="2785"/>
    <m/>
    <n v="2774"/>
    <n v="0"/>
    <n v="0"/>
    <n v="0"/>
    <n v="0"/>
    <s v="1.5-6"/>
    <s v="1-3"/>
    <n v="12"/>
    <n v="7.3"/>
    <n v="4.2583333333333337"/>
    <n v="0.60833333333333328"/>
    <n v="0"/>
    <n v="0"/>
    <n v="0"/>
    <n v="0"/>
    <n v="650.82191780821915"/>
    <n v="269.3150684931507"/>
    <n v="381.50684931506851"/>
    <n v="0"/>
    <n v="0.27119111662873302"/>
    <n v="0.38416442513276777"/>
    <n v="0"/>
    <n v="0.65535554176150079"/>
    <n v="0"/>
    <n v="380"/>
    <n v="0"/>
    <n v="0"/>
    <n v="7525"/>
    <n v="1030.821917808219"/>
    <s v="To cold to run tell 8:20, Sheeve came off of drive belts on screenings stacker and 1316 crusher shoot over flowing"/>
  </r>
  <r>
    <d v="2026-02-06T00:00:00"/>
    <x v="2"/>
    <x v="1"/>
    <s v="D"/>
    <n v="567"/>
    <n v="7654.5"/>
    <n v="1078.0985915492959"/>
    <s v="3/8"/>
    <n v="0"/>
    <n v="57"/>
    <m/>
    <n v="4837"/>
    <n v="1990"/>
    <n v="2847"/>
    <m/>
    <n v="2736"/>
    <n v="0"/>
    <n v="0"/>
    <n v="0"/>
    <n v="0"/>
    <s v="1.5-6"/>
    <s v="1-3"/>
    <n v="9"/>
    <n v="7.1"/>
    <n v="5.5222222222222221"/>
    <n v="0.78888888888888886"/>
    <n v="0"/>
    <n v="0"/>
    <n v="0"/>
    <n v="0"/>
    <n v="681.26760563380287"/>
    <n v="280.28169014084506"/>
    <n v="400.98591549295776"/>
    <n v="0"/>
    <n v="0.25997779084198835"/>
    <n v="0.37193807564177933"/>
    <n v="0"/>
    <n v="0.63191586648376763"/>
    <n v="0"/>
    <n v="385.35211267605638"/>
    <n v="0"/>
    <n v="0"/>
    <n v="7573"/>
    <n v="1066.6197183098593"/>
    <s v="Stockpile clean #57 that night shift did not put in stockpile and Retirement party for Terry Mayo"/>
  </r>
  <r>
    <d v="2026-02-09T00:00:00"/>
    <x v="2"/>
    <x v="1"/>
    <s v="D"/>
    <n v="666"/>
    <n v="8991"/>
    <n v="832.5"/>
    <s v="3/8"/>
    <n v="0"/>
    <n v="57"/>
    <m/>
    <n v="5626"/>
    <n v="2326"/>
    <n v="3300"/>
    <m/>
    <n v="4104"/>
    <n v="0"/>
    <n v="0"/>
    <n v="0"/>
    <n v="0"/>
    <s v="1.5-6"/>
    <s v="1-3"/>
    <n v="12"/>
    <n v="10.8"/>
    <n v="6.3000000000000007"/>
    <n v="0.9"/>
    <n v="0"/>
    <n v="0"/>
    <n v="0"/>
    <n v="0"/>
    <n v="520.92592592592587"/>
    <n v="215.37037037037035"/>
    <n v="305.55555555555554"/>
    <n v="0"/>
    <n v="0.2587031475920365"/>
    <n v="0.3670337003670337"/>
    <n v="0"/>
    <n v="0.62573684795907014"/>
    <n v="0"/>
    <n v="380"/>
    <n v="0"/>
    <n v="0"/>
    <n v="9730"/>
    <n v="900.92592592592587"/>
    <s v="1316 feed chute filled up twice and adjust setting on curtains along with change skirt board rubber "/>
  </r>
  <r>
    <d v="2026-02-10T00:00:00"/>
    <x v="2"/>
    <x v="1"/>
    <s v="D"/>
    <n v="560"/>
    <n v="7560"/>
    <n v="1095.6521739130435"/>
    <s v="3/8"/>
    <n v="0"/>
    <n v="57"/>
    <m/>
    <n v="4513"/>
    <n v="1954"/>
    <n v="2559"/>
    <m/>
    <n v="2622"/>
    <n v="0"/>
    <n v="0"/>
    <n v="0"/>
    <n v="0"/>
    <s v="1.5-6"/>
    <s v="1-3"/>
    <n v="12"/>
    <n v="6.9"/>
    <n v="4.0250000000000004"/>
    <n v="0.57500000000000007"/>
    <n v="0"/>
    <n v="0"/>
    <n v="0"/>
    <n v="0"/>
    <n v="654.05797101449275"/>
    <n v="283.18840579710144"/>
    <n v="370.86956521739131"/>
    <n v="0"/>
    <n v="0.25846560846560845"/>
    <n v="0.33849206349206351"/>
    <n v="0"/>
    <n v="0.59695767195767191"/>
    <n v="0"/>
    <n v="380"/>
    <n v="0"/>
    <n v="0"/>
    <n v="7135"/>
    <n v="1034.0579710144928"/>
    <s v="Clean rock up in front of hopper that was dumped in loader travel area and shut down early to stockpile short handed 54Htz"/>
  </r>
  <r>
    <d v="2026-02-11T00:00:00"/>
    <x v="2"/>
    <x v="1"/>
    <s v="D"/>
    <m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Re-washed"/>
  </r>
  <r>
    <d v="2026-02-12T00:00:00"/>
    <x v="2"/>
    <x v="1"/>
    <s v="D"/>
    <m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Drain line stopped up"/>
  </r>
  <r>
    <d v="2026-02-13T00:00:00"/>
    <x v="2"/>
    <x v="1"/>
    <s v="D"/>
    <m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Change out drain line"/>
  </r>
  <r>
    <d v="2026-02-16T00:00:00"/>
    <x v="2"/>
    <x v="1"/>
    <s v="D"/>
    <n v="309"/>
    <n v="4171.5"/>
    <n v="1042.875"/>
    <s v="3/8"/>
    <n v="0"/>
    <n v="57"/>
    <m/>
    <n v="2863"/>
    <n v="1218"/>
    <n v="1645"/>
    <m/>
    <n v="1520"/>
    <n v="0"/>
    <n v="0"/>
    <n v="0"/>
    <n v="0"/>
    <s v="1.5-6"/>
    <s v="1-3"/>
    <n v="12"/>
    <n v="4"/>
    <n v="2.3333333333333335"/>
    <n v="0.33333333333333331"/>
    <n v="0"/>
    <n v="0"/>
    <n v="0"/>
    <n v="0"/>
    <n v="715.75"/>
    <n v="304.5"/>
    <n v="411.25"/>
    <n v="0"/>
    <n v="0.29198130169003955"/>
    <n v="0.39434256262735229"/>
    <n v="0"/>
    <n v="0.6863238643173919"/>
    <n v="0"/>
    <n v="380"/>
    <n v="0"/>
    <n v="0"/>
    <n v="4383"/>
    <n v="1095.75"/>
    <s v="Adjusted stacker feeding wash plant and run wash plant to make sure everything is in line, add curtain to rock boxes 54Htz"/>
  </r>
  <r>
    <d v="2026-02-17T00:00:00"/>
    <x v="2"/>
    <x v="1"/>
    <s v="D"/>
    <n v="575"/>
    <n v="7762.5"/>
    <n v="995.19230769230774"/>
    <s v="3/8"/>
    <n v="0"/>
    <n v="57"/>
    <m/>
    <n v="5280"/>
    <n v="2308"/>
    <n v="2972"/>
    <m/>
    <n v="2964"/>
    <n v="0"/>
    <n v="0"/>
    <n v="0"/>
    <n v="0"/>
    <s v="1.5-6"/>
    <s v="1-3"/>
    <n v="12"/>
    <n v="7.8"/>
    <n v="4.55"/>
    <n v="0.65"/>
    <n v="0"/>
    <n v="0"/>
    <n v="0"/>
    <n v="0"/>
    <n v="676.92307692307691"/>
    <n v="295.89743589743591"/>
    <n v="381.02564102564105"/>
    <n v="0"/>
    <n v="0.29732689210950081"/>
    <n v="0.38286634460547503"/>
    <n v="0"/>
    <n v="0.68019323671497589"/>
    <n v="0"/>
    <n v="380"/>
    <n v="0"/>
    <n v="0"/>
    <n v="8244"/>
    <n v="1056.9230769230769"/>
    <s v="Start up and shut down and shut down early for broke blow bar"/>
  </r>
  <r>
    <d v="2026-02-18T00:00:00"/>
    <x v="2"/>
    <x v="1"/>
    <s v="D"/>
    <n v="510"/>
    <n v="6885"/>
    <n v="1027.6119402985075"/>
    <s v="3/8"/>
    <n v="0"/>
    <n v="57"/>
    <m/>
    <n v="4029"/>
    <n v="1658"/>
    <n v="2371"/>
    <m/>
    <n v="2546"/>
    <n v="0"/>
    <n v="0"/>
    <n v="0"/>
    <n v="0"/>
    <s v="1.5-6"/>
    <s v="1-3"/>
    <n v="12"/>
    <n v="6.7"/>
    <n v="3.9083333333333337"/>
    <n v="0.55833333333333335"/>
    <n v="0"/>
    <n v="0"/>
    <n v="0"/>
    <n v="0"/>
    <n v="601.3432835820895"/>
    <n v="247.46268656716418"/>
    <n v="353.88059701492534"/>
    <n v="0"/>
    <n v="0.24081336238198983"/>
    <n v="0.34437182280319534"/>
    <n v="0"/>
    <n v="0.58518518518518514"/>
    <n v="0"/>
    <n v="380"/>
    <n v="0"/>
    <n v="0"/>
    <n v="6575"/>
    <n v="981.3432835820895"/>
    <s v="Start up and shut down and clean out cement discharge box and fix skirtboard rubber"/>
  </r>
  <r>
    <d v="2026-02-19T00:00:00"/>
    <x v="2"/>
    <x v="1"/>
    <s v="D"/>
    <n v="645"/>
    <n v="8707.5"/>
    <n v="1130.8441558441559"/>
    <s v="3/8"/>
    <n v="0"/>
    <n v="57"/>
    <m/>
    <n v="5206"/>
    <n v="2247"/>
    <n v="2959"/>
    <m/>
    <n v="2926"/>
    <n v="0"/>
    <n v="0"/>
    <n v="0"/>
    <n v="0"/>
    <s v="1.5-6"/>
    <s v="1-3"/>
    <n v="12"/>
    <n v="7.7"/>
    <n v="4.4916666666666671"/>
    <n v="0.64166666666666672"/>
    <n v="0"/>
    <n v="0"/>
    <n v="0"/>
    <n v="0"/>
    <n v="676.10389610389609"/>
    <n v="291.81818181818181"/>
    <n v="384.28571428571428"/>
    <n v="0"/>
    <n v="0.25805340223944873"/>
    <n v="0.33982199253517081"/>
    <n v="0"/>
    <n v="0.5978753947746196"/>
    <n v="0"/>
    <n v="380"/>
    <n v="0"/>
    <n v="0"/>
    <n v="8132"/>
    <n v="1056.1038961038962"/>
    <s v="Start up and shut down, change sreens and move #1 57 stacker up to keep from spilling rock"/>
  </r>
  <r>
    <d v="2026-02-20T00:00:00"/>
    <x v="2"/>
    <x v="1"/>
    <s v="D"/>
    <n v="649"/>
    <n v="8761.5"/>
    <n v="1068.4756097560976"/>
    <s v="3/8"/>
    <n v="0"/>
    <n v="57"/>
    <m/>
    <n v="5361"/>
    <n v="2244"/>
    <n v="3117"/>
    <m/>
    <n v="3116"/>
    <n v="0"/>
    <n v="0"/>
    <n v="0"/>
    <n v="0"/>
    <s v="1.5-6"/>
    <s v="1-3"/>
    <n v="12"/>
    <n v="8.1999999999999993"/>
    <n v="4.7833333333333332"/>
    <n v="0.68333333333333324"/>
    <n v="0"/>
    <n v="0"/>
    <n v="0"/>
    <n v="0"/>
    <n v="653.78048780487813"/>
    <n v="273.65853658536588"/>
    <n v="380.12195121951225"/>
    <n v="0"/>
    <n v="0.25612052730696799"/>
    <n v="0.35576099982879644"/>
    <n v="0"/>
    <n v="0.61188152713576449"/>
    <n v="0"/>
    <n v="380.00000000000006"/>
    <n v="0"/>
    <n v="0"/>
    <n v="8477"/>
    <n v="1033.7804878048782"/>
    <s v="Clean out wash box, move #1 57 stacker forwards and move new wash belt around to make it feed better                    54Htz"/>
  </r>
  <r>
    <d v="2026-02-23T00:00:00"/>
    <x v="2"/>
    <x v="1"/>
    <s v="D"/>
    <m/>
    <n v="0"/>
    <s v=""/>
    <m/>
    <n v="0"/>
    <m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Re-wash and load train"/>
  </r>
  <r>
    <d v="2026-02-24T00:00:00"/>
    <x v="2"/>
    <x v="1"/>
    <s v="D"/>
    <n v="655"/>
    <n v="8842.5"/>
    <n v="940.69148936170211"/>
    <s v="3/8"/>
    <n v="0"/>
    <n v="57"/>
    <m/>
    <n v="6100"/>
    <n v="2545"/>
    <n v="3555"/>
    <m/>
    <n v="3572"/>
    <n v="0"/>
    <n v="0"/>
    <n v="0"/>
    <n v="0"/>
    <s v="1.5-6"/>
    <s v="1-3"/>
    <n v="12"/>
    <n v="9.4"/>
    <n v="5.4833333333333343"/>
    <n v="0.78333333333333333"/>
    <n v="0"/>
    <n v="0"/>
    <n v="0"/>
    <n v="0"/>
    <n v="648.93617021276589"/>
    <n v="270.74468085106383"/>
    <n v="378.19148936170211"/>
    <n v="0"/>
    <n v="0.28781453208934127"/>
    <n v="0.4020356234096692"/>
    <n v="0"/>
    <n v="0.68985015549901041"/>
    <n v="0"/>
    <n v="380"/>
    <n v="0"/>
    <n v="0"/>
    <n v="9672"/>
    <n v="1028.9361702127658"/>
    <s v="Start up, shut down, rock in crusher run stacker tail pulley, fix water line and four 304 codes"/>
  </r>
  <r>
    <d v="2026-02-25T00:00:00"/>
    <x v="2"/>
    <x v="1"/>
    <s v="D"/>
    <n v="644"/>
    <n v="8694"/>
    <n v="1086.75"/>
    <s v="3/8"/>
    <n v="0"/>
    <n v="57"/>
    <m/>
    <n v="5676"/>
    <n v="2362"/>
    <n v="3314"/>
    <m/>
    <n v="3040"/>
    <n v="0"/>
    <n v="0"/>
    <n v="0"/>
    <n v="0"/>
    <s v="1.5-6"/>
    <s v="1-3"/>
    <n v="12"/>
    <n v="8"/>
    <n v="4.666666666666667"/>
    <n v="0.66666666666666663"/>
    <n v="0"/>
    <n v="0"/>
    <n v="0"/>
    <n v="0"/>
    <n v="709.5"/>
    <n v="295.25"/>
    <n v="414.25"/>
    <n v="0"/>
    <n v="0.27168161950770647"/>
    <n v="0.38118242466068553"/>
    <n v="0"/>
    <n v="0.65286404416839194"/>
    <n v="0"/>
    <n v="380"/>
    <n v="0"/>
    <n v="0"/>
    <n v="8716"/>
    <n v="1089.5"/>
    <s v="Startup, shutdown, put oil on and oil in pre screen, 304 code and washed 57 stacker travel electrical "/>
  </r>
  <r>
    <d v="2026-02-26T00:00:00"/>
    <x v="2"/>
    <x v="1"/>
    <s v="D"/>
    <n v="419"/>
    <n v="5656.5"/>
    <n v="554.55882352941182"/>
    <s v="3/8"/>
    <n v="0"/>
    <n v="57"/>
    <m/>
    <n v="4046"/>
    <n v="1519"/>
    <n v="2527"/>
    <m/>
    <n v="2528"/>
    <n v="0"/>
    <n v="0"/>
    <n v="0"/>
    <n v="0"/>
    <s v="1.5-6"/>
    <s v="1-3"/>
    <n v="12"/>
    <n v="10.199999999999999"/>
    <n v="5.95"/>
    <n v="0.85"/>
    <n v="0"/>
    <n v="0"/>
    <n v="0"/>
    <n v="0"/>
    <n v="396.66666666666669"/>
    <n v="148.92156862745099"/>
    <n v="247.74509803921569"/>
    <n v="0"/>
    <n v="0.26854061698930431"/>
    <n v="0.4467426854061699"/>
    <n v="0"/>
    <n v="0.71528330239547422"/>
    <n v="0"/>
    <n v="247.84313725490199"/>
    <n v="0"/>
    <n v="0"/>
    <n v="6574"/>
    <n v="644.50980392156862"/>
    <s v="Startup, shutdown, crusher run hopper plugged up, 2 304 codes and clean splitter box"/>
  </r>
  <r>
    <d v="2026-02-27T00:00:00"/>
    <x v="2"/>
    <x v="1"/>
    <s v="D"/>
    <m/>
    <n v="0"/>
    <s v=""/>
    <s v="3/8"/>
    <n v="0"/>
    <n v="57"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Doing maintenance"/>
  </r>
  <r>
    <d v="2026-03-02T00:00:00"/>
    <x v="2"/>
    <x v="2"/>
    <s v="D"/>
    <m/>
    <n v="0"/>
    <s v=""/>
    <s v="3/8"/>
    <n v="0"/>
    <n v="57"/>
    <m/>
    <n v="0"/>
    <m/>
    <m/>
    <m/>
    <m/>
    <m/>
    <m/>
    <m/>
    <m/>
    <m/>
    <m/>
    <m/>
    <m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Doing maintenance"/>
  </r>
  <r>
    <d v="2026-03-03T00:00:00"/>
    <x v="2"/>
    <x v="2"/>
    <s v="D"/>
    <n v="593"/>
    <n v="8005.5"/>
    <n v="976.28048780487813"/>
    <s v="3/8"/>
    <n v="0"/>
    <n v="57"/>
    <m/>
    <n v="5402"/>
    <n v="2291"/>
    <n v="3111"/>
    <m/>
    <n v="3116"/>
    <n v="0"/>
    <n v="0"/>
    <n v="0"/>
    <n v="0"/>
    <s v="1.5-6"/>
    <s v="1-3"/>
    <n v="12"/>
    <n v="8.1999999999999993"/>
    <n v="4.7833333333333332"/>
    <n v="0.68333333333333324"/>
    <n v="0"/>
    <n v="0"/>
    <n v="0"/>
    <n v="0"/>
    <n v="658.78048780487813"/>
    <n v="279.39024390243907"/>
    <n v="379.39024390243907"/>
    <n v="0"/>
    <n v="0.28617825245143963"/>
    <n v="0.38860783211542066"/>
    <n v="0"/>
    <n v="0.67478608456686029"/>
    <n v="0"/>
    <n v="380.00000000000006"/>
    <n v="0"/>
    <n v="0"/>
    <n v="8518"/>
    <n v="1038.7804878048782"/>
    <s v="Startup, shutdown and big rock in crusher"/>
  </r>
  <r>
    <d v="2026-03-04T00:00:00"/>
    <x v="2"/>
    <x v="2"/>
    <s v="D"/>
    <n v="554"/>
    <n v="7479"/>
    <n v="946.70886075949363"/>
    <s v="3/8"/>
    <n v="0"/>
    <n v="57"/>
    <m/>
    <n v="4986"/>
    <n v="2065"/>
    <n v="2921"/>
    <m/>
    <n v="3040"/>
    <n v="0"/>
    <n v="0"/>
    <n v="0"/>
    <n v="0"/>
    <s v="1.5-6"/>
    <s v="1-3"/>
    <n v="12"/>
    <n v="7.9"/>
    <n v="4.6083333333333334"/>
    <n v="0.65833333333333333"/>
    <n v="0"/>
    <n v="0"/>
    <n v="0"/>
    <n v="0"/>
    <n v="631.13924050632909"/>
    <n v="261.39240506329111"/>
    <n v="369.74683544303798"/>
    <n v="0"/>
    <n v="0.27610643134108837"/>
    <n v="0.39056023532557826"/>
    <n v="0"/>
    <n v="0.66666666666666663"/>
    <n v="0"/>
    <n v="384.81012658227849"/>
    <n v="0"/>
    <n v="0"/>
    <n v="8026"/>
    <n v="1015.9493670886076"/>
    <s v="Startup, shutdown , dig out settling pond and 292 breaker"/>
  </r>
  <r>
    <d v="2026-03-05T00:00:00"/>
    <x v="2"/>
    <x v="2"/>
    <s v="D"/>
    <n v="503"/>
    <n v="6790.5"/>
    <n v="970.07142857142856"/>
    <s v="3/8 "/>
    <n v="0"/>
    <n v="57"/>
    <m/>
    <n v="4643"/>
    <n v="2033"/>
    <n v="2610"/>
    <m/>
    <n v="2736"/>
    <n v="0"/>
    <n v="0"/>
    <n v="0"/>
    <n v="0"/>
    <s v="1.5-6"/>
    <s v="1-3"/>
    <n v="12"/>
    <n v="7"/>
    <n v="4.0833333333333339"/>
    <n v="0.58333333333333337"/>
    <n v="0"/>
    <n v="0"/>
    <n v="0"/>
    <n v="0"/>
    <n v="663.28571428571433"/>
    <n v="290.42857142857144"/>
    <n v="372.85714285714283"/>
    <n v="0"/>
    <n v="0.29938885207274868"/>
    <n v="0.3843605036447979"/>
    <n v="0"/>
    <n v="0.68374935571754658"/>
    <n v="0"/>
    <n v="390.85714285714283"/>
    <n v="0"/>
    <n v="0"/>
    <n v="7379"/>
    <n v="1054.1428571428571"/>
    <s v="Startup, shutdown, two big rock in hopper, Replace V-belts on #2 screen feed and one 304 code"/>
  </r>
  <r>
    <d v="2026-03-06T00:00:00"/>
    <x v="2"/>
    <x v="2"/>
    <s v="D"/>
    <n v="0"/>
    <n v="0"/>
    <s v=""/>
    <s v="3/8"/>
    <n v="0"/>
    <n v="57"/>
    <m/>
    <n v="0"/>
    <n v="0"/>
    <n v="0"/>
    <m/>
    <n v="0"/>
    <n v="0"/>
    <n v="0"/>
    <n v="0"/>
    <n v="0"/>
    <m/>
    <s v="1-3"/>
    <n v="0"/>
    <n v="0"/>
    <e v="#DIV/0!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Rewashed"/>
  </r>
  <r>
    <d v="2026-03-09T00:00:00"/>
    <x v="2"/>
    <x v="2"/>
    <s v="D"/>
    <n v="791"/>
    <n v="10678.5"/>
    <n v="1026.7788461538462"/>
    <s v="3/8"/>
    <n v="0"/>
    <n v="57"/>
    <m/>
    <n v="7105"/>
    <n v="3053"/>
    <n v="4052"/>
    <m/>
    <n v="3952"/>
    <n v="0"/>
    <n v="0"/>
    <n v="0"/>
    <n v="0"/>
    <s v="1.5-6"/>
    <s v="1-3"/>
    <n v="12"/>
    <n v="10.4"/>
    <n v="6.0666666666666673"/>
    <n v="0.8666666666666667"/>
    <n v="0"/>
    <n v="0"/>
    <n v="0"/>
    <n v="0"/>
    <n v="683.17307692307691"/>
    <n v="293.55769230769232"/>
    <n v="389.61538461538458"/>
    <n v="0"/>
    <n v="0.28590157793697618"/>
    <n v="0.37945404317085735"/>
    <n v="0"/>
    <n v="0.66535562110783353"/>
    <n v="0"/>
    <n v="380"/>
    <n v="0"/>
    <n v="0"/>
    <n v="11057"/>
    <n v="1063.1730769230769"/>
    <s v="Startup, shutdown and three 282 codes"/>
  </r>
  <r>
    <d v="2026-03-10T00:00:00"/>
    <x v="2"/>
    <x v="2"/>
    <s v="D"/>
    <n v="609"/>
    <n v="8221.5"/>
    <n v="1002.6219512195123"/>
    <s v="3/8"/>
    <n v="0"/>
    <n v="57"/>
    <m/>
    <n v="6047"/>
    <n v="2508"/>
    <n v="3539"/>
    <m/>
    <n v="3116"/>
    <n v="0"/>
    <n v="0"/>
    <n v="0"/>
    <n v="0"/>
    <s v="1.5-6"/>
    <s v="1-3"/>
    <n v="12"/>
    <n v="8.1999999999999993"/>
    <n v="4.7833333333333332"/>
    <n v="0.68333333333333324"/>
    <n v="0"/>
    <n v="0"/>
    <n v="0"/>
    <n v="0"/>
    <n v="737.43902439024396"/>
    <n v="305.85365853658539"/>
    <n v="431.58536585365857"/>
    <n v="0"/>
    <n v="0.30505382229520162"/>
    <n v="0.430456729307304"/>
    <n v="0"/>
    <n v="0.73551055160250556"/>
    <n v="0"/>
    <n v="380.00000000000006"/>
    <n v="0"/>
    <n v="0"/>
    <n v="9163"/>
    <n v="1117.439024390244"/>
    <s v="Startup and shutdown"/>
  </r>
  <r>
    <d v="2026-03-11T00:00:00"/>
    <x v="2"/>
    <x v="2"/>
    <s v="D"/>
    <n v="738"/>
    <n v="9963"/>
    <n v="1027.1134020618558"/>
    <s v="3/8"/>
    <n v="0"/>
    <n v="57"/>
    <m/>
    <n v="7602"/>
    <n v="3118"/>
    <n v="4484"/>
    <m/>
    <n v="3686"/>
    <n v="0"/>
    <n v="0"/>
    <n v="0"/>
    <n v="0"/>
    <s v="1.5-6"/>
    <s v="1-3"/>
    <n v="12"/>
    <n v="9.6999999999999993"/>
    <n v="5.6583333333333332"/>
    <n v="0.80833333333333324"/>
    <n v="0"/>
    <n v="0"/>
    <n v="0"/>
    <n v="0"/>
    <n v="783.71134020618558"/>
    <n v="321.4432989690722"/>
    <n v="462.26804123711344"/>
    <n v="0"/>
    <n v="0.31295794439425878"/>
    <n v="0.45006524139315468"/>
    <n v="0"/>
    <n v="0.76302318578741346"/>
    <n v="0"/>
    <n v="380"/>
    <n v="0"/>
    <n v="0"/>
    <n v="11288"/>
    <n v="1163.7113402061855"/>
    <s v="Startup, shutdown and working on electrical after thunder storm "/>
  </r>
  <r>
    <d v="2026-03-12T00:00:00"/>
    <x v="2"/>
    <x v="2"/>
    <s v="D"/>
    <n v="0"/>
    <n v="0"/>
    <s v=""/>
    <s v="3/8"/>
    <n v="0"/>
    <n v="57"/>
    <m/>
    <n v="0"/>
    <n v="0"/>
    <n v="0"/>
    <m/>
    <n v="0"/>
    <n v="0"/>
    <n v="0"/>
    <n v="0"/>
    <n v="0"/>
    <s v="1.5-6"/>
    <s v="1-3"/>
    <n v="12"/>
    <n v="0"/>
    <n v="0"/>
    <n v="0"/>
    <s v=""/>
    <s v=""/>
    <e v="#DIV/0!"/>
    <e v="#DIV/0!"/>
    <m/>
    <s v=""/>
    <s v=""/>
    <s v=""/>
    <s v=""/>
    <s v=""/>
    <s v=""/>
    <m/>
    <e v="#DIV/0!"/>
    <e v="#DIV/0!"/>
    <e v="#DIV/0!"/>
    <e v="#DIV/0!"/>
    <n v="0"/>
    <e v="#DIV/0!"/>
    <s v="Not enough employees to crush "/>
  </r>
  <r>
    <d v="2026-03-13T00:00:00"/>
    <x v="2"/>
    <x v="2"/>
    <s v="D"/>
    <n v="381"/>
    <n v="5143.5"/>
    <n v="989.13461538461536"/>
    <s v="3/8"/>
    <n v="0"/>
    <n v="57"/>
    <m/>
    <n v="3732"/>
    <n v="1534"/>
    <n v="2198"/>
    <m/>
    <n v="1976"/>
    <n v="0"/>
    <n v="0"/>
    <n v="0"/>
    <n v="0"/>
    <s v="1.5-6"/>
    <s v="1-3"/>
    <n v="12"/>
    <n v="5.2"/>
    <n v="3.0333333333333337"/>
    <n v="0.43333333333333335"/>
    <n v="0"/>
    <n v="0"/>
    <n v="0"/>
    <n v="0"/>
    <n v="717.69230769230762"/>
    <n v="295"/>
    <n v="422.69230769230768"/>
    <n v="0"/>
    <n v="0.29824049771556332"/>
    <n v="0.42733547195489452"/>
    <n v="0"/>
    <n v="0.72557596967045779"/>
    <n v="0"/>
    <n v="380"/>
    <n v="0"/>
    <n v="0"/>
    <n v="5708"/>
    <n v="1097.6923076923076"/>
    <s v="Finish putting liners in Kleeman crusher, crusher door switch broke, fix crusher door swith and shut down"/>
  </r>
  <r>
    <d v="2026-03-16T00:00:00"/>
    <x v="2"/>
    <x v="2"/>
    <s v="D"/>
    <n v="455"/>
    <n v="6142.5"/>
    <n v="1116.8181818181818"/>
    <s v="3/8"/>
    <n v="0"/>
    <n v="57"/>
    <m/>
    <n v="4071"/>
    <n v="1708"/>
    <n v="2363"/>
    <m/>
    <n v="2090"/>
    <n v="0"/>
    <n v="0"/>
    <n v="0"/>
    <n v="0"/>
    <s v="1.5-6"/>
    <s v="1-3"/>
    <n v="12"/>
    <n v="5.5"/>
    <n v="3.2083333333333335"/>
    <n v="0.45833333333333331"/>
    <n v="0"/>
    <n v="0"/>
    <n v="0"/>
    <n v="0"/>
    <n v="740.18181818181813"/>
    <n v="310.54545454545456"/>
    <n v="429.63636363636363"/>
    <n v="0"/>
    <n v="0.27806267806267804"/>
    <n v="0.3846967846967847"/>
    <n v="0"/>
    <n v="0.66275946275946274"/>
    <n v="0"/>
    <n v="380"/>
    <n v="0"/>
    <n v="0"/>
    <n v="6161"/>
    <n v="1120.181818181818"/>
    <s v="Clean up mud in loading are, shutdown, overload on shacker and remove clay from splitter shoot"/>
  </r>
  <r>
    <d v="2026-03-17T00:00:00"/>
    <x v="2"/>
    <x v="2"/>
    <s v="D"/>
    <n v="505"/>
    <n v="6817.5"/>
    <n v="1032.9545454545455"/>
    <s v="5/8"/>
    <n v="0"/>
    <n v="57"/>
    <m/>
    <n v="4330"/>
    <n v="1689"/>
    <n v="2641"/>
    <m/>
    <n v="2508"/>
    <n v="0"/>
    <n v="0"/>
    <n v="0"/>
    <n v="0"/>
    <s v="1.5-6"/>
    <s v="1-3"/>
    <n v="12"/>
    <n v="6.6"/>
    <n v="3.85"/>
    <n v="0.54999999999999993"/>
    <n v="0"/>
    <n v="0"/>
    <n v="0"/>
    <n v="0"/>
    <n v="656.06060606060612"/>
    <n v="255.90909090909093"/>
    <n v="400.15151515151518"/>
    <n v="0"/>
    <n v="0.24774477447744775"/>
    <n v="0.38738540520718739"/>
    <n v="0"/>
    <n v="0.63513017968463514"/>
    <n v="0"/>
    <n v="380"/>
    <n v="0"/>
    <n v="0"/>
    <n v="6838"/>
    <n v="1036.060606060606"/>
    <s v="Power blinked to crusher, skirt board crusher run hooper and clean out splitter chute twice "/>
  </r>
  <r>
    <d v="2026-03-19T00:00:00"/>
    <x v="2"/>
    <x v="2"/>
    <s v="D"/>
    <n v="764"/>
    <n v="10314"/>
    <n v="973.01886792452831"/>
    <s v="3/8"/>
    <n v="0"/>
    <n v="57"/>
    <m/>
    <n v="7288"/>
    <n v="2712"/>
    <n v="4576"/>
    <m/>
    <n v="4028"/>
    <n v="0"/>
    <n v="0"/>
    <n v="0"/>
    <n v="0"/>
    <s v="1.5-6"/>
    <s v="1-3"/>
    <n v="12"/>
    <n v="10.6"/>
    <n v="6.1833333333333336"/>
    <n v="0.8833333333333333"/>
    <n v="0"/>
    <n v="0"/>
    <n v="0"/>
    <n v="0"/>
    <n v="687.54716981132083"/>
    <n v="255.84905660377359"/>
    <n v="431.69811320754718"/>
    <n v="0"/>
    <n v="0.26294357184409539"/>
    <n v="0.4436687996897421"/>
    <n v="0"/>
    <n v="0.70661237153383749"/>
    <n v="0"/>
    <n v="380"/>
    <n v="0"/>
    <n v="0"/>
    <n v="11316"/>
    <n v="1067.5471698113208"/>
    <s v="Startup, shutdown and splitter chute stopped up "/>
  </r>
  <r>
    <d v="2026-03-23T00:00:00"/>
    <x v="2"/>
    <x v="2"/>
    <s v="D"/>
    <n v="734"/>
    <n v="9909"/>
    <n v="1054.1489361702127"/>
    <s v="3/8"/>
    <n v="0"/>
    <n v="57"/>
    <m/>
    <n v="6466"/>
    <n v="2584"/>
    <n v="3882"/>
    <m/>
    <n v="3578"/>
    <n v="0"/>
    <n v="0"/>
    <n v="0"/>
    <n v="0"/>
    <s v="1.5-6"/>
    <s v="1-3"/>
    <n v="12"/>
    <n v="9.4"/>
    <n v="5.4833333333333343"/>
    <n v="0.78333333333333333"/>
    <n v="0"/>
    <n v="0"/>
    <n v="0"/>
    <n v="0"/>
    <n v="687.87234042553189"/>
    <n v="274.89361702127661"/>
    <n v="412.97872340425528"/>
    <n v="0"/>
    <n v="0.26077303461499646"/>
    <n v="0.39176506206478956"/>
    <n v="0"/>
    <n v="0.65253809667978602"/>
    <n v="0"/>
    <n v="380.63829787234039"/>
    <n v="0"/>
    <n v="0"/>
    <n v="10044"/>
    <n v="1068.5106382978722"/>
    <s v="Startup, shutdown, 292 breaker no control voltage and replace E stop button"/>
  </r>
  <r>
    <d v="2026-03-24T00:00:00"/>
    <x v="2"/>
    <x v="2"/>
    <s v="D"/>
    <n v="501"/>
    <n v="6763.5"/>
    <n v="994.63235294117646"/>
    <s v="3/8"/>
    <n v="0"/>
    <n v="57"/>
    <m/>
    <n v="4923"/>
    <n v="1975"/>
    <n v="2948"/>
    <m/>
    <n v="2888"/>
    <n v="0"/>
    <n v="0"/>
    <n v="0"/>
    <n v="0"/>
    <s v="1.5-6"/>
    <s v="1-3"/>
    <n v="12"/>
    <n v="6.8"/>
    <n v="3.9666666666666668"/>
    <n v="0.56666666666666665"/>
    <n v="0"/>
    <n v="0"/>
    <n v="0"/>
    <n v="0"/>
    <n v="723.97058823529414"/>
    <n v="290.44117647058823"/>
    <n v="433.52941176470591"/>
    <n v="0"/>
    <n v="0.29200857544170916"/>
    <n v="0.43586900273527018"/>
    <n v="0"/>
    <n v="0.72787757817697929"/>
    <n v="0"/>
    <n v="424.70588235294116"/>
    <n v="0"/>
    <n v="0"/>
    <n v="7811"/>
    <n v="1148.6764705882354"/>
    <s v="Startup, shutdown, run rock out of old pit, six 292 codes and one 292 code with electrican shutting down to fix"/>
  </r>
  <r>
    <d v="2026-03-25T00:00:00"/>
    <x v="2"/>
    <x v="2"/>
    <s v="D"/>
    <n v="686"/>
    <n v="9261"/>
    <n v="1040.5617977528088"/>
    <s v="3/8"/>
    <n v="0"/>
    <n v="57"/>
    <m/>
    <n v="5554"/>
    <n v="1959"/>
    <n v="3595"/>
    <m/>
    <n v="3382"/>
    <n v="0"/>
    <n v="0"/>
    <n v="0"/>
    <n v="0"/>
    <s v="1.5-6"/>
    <s v="1-3"/>
    <n v="12"/>
    <n v="8.9"/>
    <n v="5.1916666666666673"/>
    <n v="0.7416666666666667"/>
    <n v="0"/>
    <n v="0"/>
    <n v="0"/>
    <n v="0"/>
    <n v="624.04494382022472"/>
    <n v="220.11235955056179"/>
    <n v="403.93258426966293"/>
    <n v="0"/>
    <n v="0.21153223194039519"/>
    <n v="0.38818702084008205"/>
    <n v="0"/>
    <n v="0.59971925278047722"/>
    <n v="0"/>
    <n v="380"/>
    <n v="0"/>
    <n v="0"/>
    <n v="8936"/>
    <n v="1004.0449438202247"/>
    <s v="Startup, shutdown, put return belt back in place, big rock and change screen on #1 screen"/>
  </r>
  <r>
    <d v="2026-03-30T00:00:00"/>
    <x v="2"/>
    <x v="2"/>
    <s v="D"/>
    <n v="769"/>
    <n v="10381.5"/>
    <n v="979.38679245283026"/>
    <s v="3/8"/>
    <n v="0"/>
    <n v="57"/>
    <m/>
    <n v="7296"/>
    <n v="3023"/>
    <n v="4273"/>
    <m/>
    <n v="4273"/>
    <n v="0"/>
    <n v="0"/>
    <n v="0"/>
    <n v="0"/>
    <s v="1.5-6"/>
    <s v="1-3"/>
    <n v="12"/>
    <n v="10.6"/>
    <n v="6.1833333333333336"/>
    <n v="0.8833333333333333"/>
    <n v="0"/>
    <n v="0"/>
    <n v="0"/>
    <n v="0"/>
    <n v="688.30188679245282"/>
    <n v="285.18867924528303"/>
    <n v="403.11320754716985"/>
    <n v="0"/>
    <n v="0.29119106102201031"/>
    <n v="0.41159755334007608"/>
    <n v="0"/>
    <n v="0.70278861436208639"/>
    <n v="0"/>
    <n v="403.11320754716985"/>
    <n v="0"/>
    <n v="0"/>
    <n v="11569"/>
    <n v="1091.4150943396226"/>
    <s v="Startup and shutdown"/>
  </r>
  <r>
    <d v="2026-03-31T00:00:00"/>
    <x v="2"/>
    <x v="2"/>
    <s v="D"/>
    <n v="504"/>
    <n v="6804"/>
    <n v="1015.5223880597015"/>
    <s v="3/8"/>
    <n v="0"/>
    <n v="57"/>
    <m/>
    <n v="4124"/>
    <n v="1698"/>
    <n v="2426"/>
    <m/>
    <n v="2546"/>
    <n v="0"/>
    <n v="0"/>
    <n v="0"/>
    <n v="0"/>
    <s v="1.5-6"/>
    <s v="1-3"/>
    <n v="12"/>
    <n v="6.7"/>
    <n v="3.9083333333333337"/>
    <n v="0.55833333333333335"/>
    <n v="0"/>
    <n v="0"/>
    <n v="0"/>
    <n v="0"/>
    <n v="615.52238805970148"/>
    <n v="253.43283582089552"/>
    <n v="362.08955223880594"/>
    <n v="0"/>
    <n v="0.24955908289241621"/>
    <n v="0.3565549676660788"/>
    <n v="0"/>
    <n v="0.60611405055849499"/>
    <n v="0"/>
    <n v="380"/>
    <n v="0"/>
    <n v="0"/>
    <n v="6670"/>
    <n v="995.52238805970148"/>
    <s v="Startup,shutdown, clean out settling pond, two 304 codes, put oil in pre screen and all hands on safety meeting "/>
  </r>
  <r>
    <d v="2026-04-03T00:00:00"/>
    <x v="2"/>
    <x v="3"/>
    <s v="D"/>
    <n v="621"/>
    <n v="8383.5"/>
    <n v="821.91176470588243"/>
    <s v="3/8"/>
    <n v="0"/>
    <n v="57"/>
    <m/>
    <n v="6984"/>
    <n v="2711"/>
    <n v="4273"/>
    <m/>
    <n v="3876"/>
    <n v="0"/>
    <n v="0"/>
    <n v="0"/>
    <n v="0"/>
    <s v="1.5-6"/>
    <s v="1-3"/>
    <n v="12"/>
    <n v="10.199999999999999"/>
    <n v="5.95"/>
    <n v="0.85"/>
    <n v="0"/>
    <n v="0"/>
    <n v="0"/>
    <n v="0"/>
    <n v="684.70588235294122"/>
    <n v="265.78431372549022"/>
    <n v="418.92156862745099"/>
    <n v="0"/>
    <n v="0.32337329277747956"/>
    <n v="0.50969165622949841"/>
    <n v="0"/>
    <n v="0.83306494900697792"/>
    <n v="0"/>
    <n v="380"/>
    <n v="0"/>
    <n v="0"/>
    <n v="10860"/>
    <n v="1064.7058823529412"/>
    <s v="Startup, shutdown, E-stop, clean splitter chute and water line broke"/>
  </r>
  <r>
    <d v="2026-04-06T00:00:00"/>
    <x v="2"/>
    <x v="3"/>
    <s v="D"/>
    <n v="252"/>
    <n v="3402"/>
    <n v="1173.1034482758621"/>
    <s v="3/8"/>
    <n v="0"/>
    <n v="57"/>
    <m/>
    <n v="2111"/>
    <n v="776"/>
    <n v="1335"/>
    <m/>
    <n v="1102"/>
    <n v="0"/>
    <n v="0"/>
    <n v="0"/>
    <n v="0"/>
    <s v="1.5-6"/>
    <s v="1-3"/>
    <n v="12"/>
    <n v="2.9"/>
    <n v="1.6916666666666667"/>
    <n v="0.24166666666666667"/>
    <n v="0"/>
    <n v="0"/>
    <n v="0"/>
    <n v="0"/>
    <n v="727.93103448275861"/>
    <n v="267.58620689655174"/>
    <n v="460.34482758620692"/>
    <n v="0"/>
    <n v="0.22810111699000588"/>
    <n v="0.39241622574955909"/>
    <n v="0"/>
    <n v="0.62051734273956494"/>
    <n v="0"/>
    <n v="380"/>
    <n v="0"/>
    <n v="0"/>
    <n v="3213"/>
    <n v="1107.9310344827586"/>
    <s v="Startup and load train"/>
  </r>
  <r>
    <d v="2026-04-07T00:00:00"/>
    <x v="2"/>
    <x v="3"/>
    <s v="D"/>
    <n v="440"/>
    <n v="5940"/>
    <n v="848.57142857142856"/>
    <s v="3/8"/>
    <n v="0"/>
    <n v="57"/>
    <m/>
    <n v="5097"/>
    <n v="1940"/>
    <n v="3157"/>
    <m/>
    <n v="2660"/>
    <n v="0"/>
    <n v="0"/>
    <n v="0"/>
    <n v="0"/>
    <s v="1.5-6"/>
    <s v="1-3"/>
    <n v="12"/>
    <n v="7"/>
    <n v="4.0833333333333339"/>
    <n v="0.58333333333333337"/>
    <n v="0"/>
    <n v="0"/>
    <n v="0"/>
    <n v="0"/>
    <n v="728.14285714285711"/>
    <n v="277.14285714285717"/>
    <n v="451"/>
    <n v="0"/>
    <n v="0.32659932659932661"/>
    <n v="0.53148148148148144"/>
    <n v="0"/>
    <n v="0.858080808080808"/>
    <n v="0"/>
    <n v="380"/>
    <n v="0"/>
    <n v="0"/>
    <n v="7757"/>
    <n v="1108.1428571428571"/>
    <s v="Finish changing bearing on washed 57 stacker, big rock in crusher, splitter chute clogged and two 292 codes "/>
  </r>
  <r>
    <d v="2026-04-09T00:00:00"/>
    <x v="2"/>
    <x v="3"/>
    <s v="D"/>
    <n v="845"/>
    <n v="11407.5"/>
    <n v="1140.75"/>
    <s v="3/8"/>
    <n v="0"/>
    <n v="57"/>
    <m/>
    <n v="7291"/>
    <n v="3016"/>
    <n v="4275"/>
    <m/>
    <n v="3800"/>
    <n v="0"/>
    <n v="0"/>
    <n v="0"/>
    <n v="0"/>
    <s v="1.5-6"/>
    <s v="1-3"/>
    <n v="12"/>
    <n v="10"/>
    <n v="5.8333333333333339"/>
    <n v="0.83333333333333337"/>
    <n v="0"/>
    <n v="0"/>
    <n v="0"/>
    <n v="0"/>
    <n v="729.1"/>
    <n v="301.60000000000002"/>
    <n v="427.5"/>
    <n v="0"/>
    <n v="0.26438746438746441"/>
    <n v="0.37475345167652863"/>
    <n v="0"/>
    <n v="0.63914091606399304"/>
    <n v="0"/>
    <n v="380"/>
    <n v="0"/>
    <n v="0"/>
    <n v="11091"/>
    <n v="1109.0999999999999"/>
    <s v="Startup and shutdown early to check oil leak on pre-screen "/>
  </r>
  <r>
    <d v="2026-04-10T00:00:00"/>
    <x v="2"/>
    <x v="3"/>
    <s v="D"/>
    <n v="841"/>
    <n v="11353.5"/>
    <n v="1061.0747663551404"/>
    <s v="3/8"/>
    <n v="0"/>
    <n v="57"/>
    <m/>
    <n v="7955"/>
    <n v="3631"/>
    <n v="4324"/>
    <m/>
    <n v="4066"/>
    <n v="0"/>
    <n v="0"/>
    <n v="0"/>
    <n v="0"/>
    <s v="1.5-6"/>
    <s v="1-3"/>
    <n v="12"/>
    <n v="10.7"/>
    <n v="6.2416666666666663"/>
    <n v="0.89166666666666661"/>
    <n v="0"/>
    <n v="0"/>
    <n v="0"/>
    <n v="0"/>
    <n v="743.45794392523374"/>
    <n v="339.34579439252337"/>
    <n v="404.1121495327103"/>
    <n v="0"/>
    <n v="0.3198132734399084"/>
    <n v="0.38085171973400272"/>
    <n v="0"/>
    <n v="0.70066499317391107"/>
    <n v="0"/>
    <n v="380"/>
    <n v="0"/>
    <n v="0"/>
    <n v="12021"/>
    <n v="1123.4579439252338"/>
    <s v="Startup, shutdown and flip splitter chute gates"/>
  </r>
  <r>
    <d v="2026-04-13T00:00:00"/>
    <x v="2"/>
    <x v="3"/>
    <s v="D"/>
    <n v="762"/>
    <n v="10287"/>
    <n v="1039.090909090909"/>
    <s v="3/8"/>
    <n v="0"/>
    <n v="57"/>
    <m/>
    <n v="8080"/>
    <n v="3408"/>
    <n v="4672"/>
    <m/>
    <n v="3762"/>
    <n v="0"/>
    <n v="0"/>
    <n v="0"/>
    <n v="0"/>
    <s v="1.5-6"/>
    <s v="1-3"/>
    <n v="12"/>
    <n v="9.9"/>
    <n v="5.7750000000000004"/>
    <n v="0.82500000000000007"/>
    <n v="0"/>
    <n v="0"/>
    <n v="0"/>
    <n v="0"/>
    <n v="816.16161616161617"/>
    <n v="344.24242424242425"/>
    <n v="471.91919191919192"/>
    <n v="0"/>
    <n v="0.33129192184310297"/>
    <n v="0.45416545154077964"/>
    <n v="0"/>
    <n v="0.78545737338388255"/>
    <n v="0"/>
    <n v="380"/>
    <n v="0"/>
    <n v="0"/>
    <n v="11842"/>
    <n v="1196.1616161616162"/>
    <s v="Clean out settling pond and shutdown"/>
  </r>
  <r>
    <d v="2026-04-14T00:00:00"/>
    <x v="2"/>
    <x v="3"/>
    <s v="D"/>
    <n v="112"/>
    <n v="1512"/>
    <n v="560"/>
    <s v="3/8"/>
    <n v="0"/>
    <n v="57"/>
    <m/>
    <n v="1913"/>
    <n v="860"/>
    <n v="1053"/>
    <m/>
    <n v="1026"/>
    <n v="0"/>
    <n v="0"/>
    <n v="0"/>
    <n v="0"/>
    <s v="1.5-6"/>
    <s v="1-3"/>
    <n v="12"/>
    <n v="2.7"/>
    <n v="1.5750000000000002"/>
    <n v="0.22500000000000001"/>
    <n v="0"/>
    <n v="0"/>
    <n v="0"/>
    <n v="0"/>
    <n v="708.51851851851848"/>
    <n v="318.51851851851848"/>
    <n v="390"/>
    <n v="0"/>
    <n v="0.56878306878306883"/>
    <n v="0.6964285714285714"/>
    <n v="0"/>
    <n v="1.2652116402116402"/>
    <n v="0"/>
    <n v="380"/>
    <n v="0"/>
    <n v="0"/>
    <n v="2939"/>
    <n v="1088.5185185185185"/>
    <s v="Load train and shutdown"/>
  </r>
  <r>
    <d v="2026-04-15T00:00:00"/>
    <x v="2"/>
    <x v="3"/>
    <s v="D"/>
    <n v="668"/>
    <n v="9018"/>
    <n v="1013.2584269662921"/>
    <s v="3/8"/>
    <n v="0"/>
    <n v="57"/>
    <m/>
    <n v="6760"/>
    <n v="3043"/>
    <n v="3717"/>
    <m/>
    <n v="3382"/>
    <n v="0"/>
    <n v="0"/>
    <n v="0"/>
    <n v="0"/>
    <s v="1.5-6"/>
    <s v="1-3"/>
    <n v="12"/>
    <n v="8.9"/>
    <n v="5.1916666666666673"/>
    <n v="0.7416666666666667"/>
    <n v="0"/>
    <n v="0"/>
    <n v="0"/>
    <n v="0"/>
    <n v="759.55056179775283"/>
    <n v="341.91011235955057"/>
    <n v="417.64044943820221"/>
    <n v="0"/>
    <n v="0.33743623863384342"/>
    <n v="0.41217564870259482"/>
    <n v="0"/>
    <n v="0.74961188733643824"/>
    <n v="0"/>
    <n v="380"/>
    <n v="0"/>
    <n v="0"/>
    <n v="10142"/>
    <n v="1139.5505617977528"/>
    <s v="Startup, shutdown, change skirt board rubber on return stacker and change screen on #1 shacker "/>
  </r>
  <r>
    <d v="2026-04-16T00:00:00"/>
    <x v="2"/>
    <x v="3"/>
    <s v="D"/>
    <n v="390"/>
    <n v="5265"/>
    <n v="1032.3529411764707"/>
    <s v="3/8"/>
    <n v="0"/>
    <n v="57"/>
    <m/>
    <n v="4078"/>
    <n v="2385"/>
    <n v="1693"/>
    <m/>
    <n v="1938"/>
    <n v="0"/>
    <n v="0"/>
    <n v="0"/>
    <n v="0"/>
    <s v="1.5-6"/>
    <s v="1-3"/>
    <n v="12"/>
    <n v="5.0999999999999996"/>
    <n v="2.9750000000000001"/>
    <n v="0.42499999999999999"/>
    <n v="0"/>
    <n v="0"/>
    <n v="0"/>
    <n v="0"/>
    <n v="799.60784313725492"/>
    <n v="467.64705882352945"/>
    <n v="331.96078431372553"/>
    <n v="0"/>
    <n v="0.45299145299145299"/>
    <n v="0.32155745489078824"/>
    <n v="0"/>
    <n v="0.77454890788224118"/>
    <n v="0"/>
    <n v="380"/>
    <n v="0"/>
    <n v="0"/>
    <n v="6016"/>
    <n v="1179.6078431372548"/>
    <s v="Startup and broke blow bar"/>
  </r>
  <r>
    <d v="2026-04-17T00:00:00"/>
    <x v="2"/>
    <x v="3"/>
    <s v="D"/>
    <n v="346"/>
    <n v="4671"/>
    <n v="973.125"/>
    <s v="3/8"/>
    <n v="0"/>
    <n v="57"/>
    <m/>
    <n v="3630"/>
    <n v="1442"/>
    <n v="2188"/>
    <m/>
    <n v="1824"/>
    <n v="0"/>
    <n v="0"/>
    <n v="0"/>
    <n v="0"/>
    <s v="1.5-6"/>
    <s v="1-3"/>
    <n v="12"/>
    <n v="4.8"/>
    <n v="2.8000000000000003"/>
    <n v="0.39999999999999997"/>
    <n v="0"/>
    <n v="0"/>
    <n v="0"/>
    <n v="0"/>
    <n v="756.25"/>
    <n v="300.41666666666669"/>
    <n v="455.83333333333337"/>
    <n v="0"/>
    <n v="0.30871333761507169"/>
    <n v="0.46842217940483838"/>
    <n v="0"/>
    <n v="0.77713551701991013"/>
    <n v="0"/>
    <n v="380"/>
    <n v="0"/>
    <n v="0"/>
    <n v="5454"/>
    <n v="1136.25"/>
    <s v="Startup, blowen fuse, and replace bearing on drive shaft of #1 screen"/>
  </r>
  <r>
    <d v="2026-04-20T00:00:00"/>
    <x v="2"/>
    <x v="3"/>
    <s v="D"/>
    <n v="669"/>
    <n v="9031.5"/>
    <n v="1101.4024390243903"/>
    <s v="3/8"/>
    <n v="0"/>
    <n v="57"/>
    <m/>
    <n v="5920"/>
    <n v="2544"/>
    <n v="3376"/>
    <m/>
    <n v="3116"/>
    <n v="0"/>
    <n v="0"/>
    <n v="0"/>
    <n v="0"/>
    <s v="2.5-6"/>
    <s v="1-3"/>
    <n v="12"/>
    <n v="8.1999999999999993"/>
    <n v="4.7833333333333332"/>
    <n v="0.68333333333333324"/>
    <n v="0"/>
    <n v="0"/>
    <n v="0"/>
    <n v="0"/>
    <n v="721.95121951219517"/>
    <n v="310.2439024390244"/>
    <n v="411.70731707317077"/>
    <n v="0"/>
    <n v="0.28168078392293638"/>
    <n v="0.3738028013065382"/>
    <n v="0"/>
    <n v="0.65548358522947459"/>
    <n v="0"/>
    <n v="380.00000000000006"/>
    <n v="0"/>
    <n v="0"/>
    <n v="9036"/>
    <n v="1101.9512195121952"/>
    <s v="Clean out settling pond, clean out crusher run hopper, blown fuse in main dissconnect for Kleeman and shutdown "/>
  </r>
  <r>
    <d v="2026-04-21T00:00:00"/>
    <x v="2"/>
    <x v="3"/>
    <s v="D"/>
    <n v="120"/>
    <n v="1620"/>
    <n v="852.63157894736844"/>
    <s v="3/8"/>
    <n v="0"/>
    <n v="57"/>
    <m/>
    <n v="969"/>
    <n v="362"/>
    <n v="607"/>
    <m/>
    <n v="722"/>
    <n v="0"/>
    <n v="0"/>
    <n v="0"/>
    <n v="0"/>
    <s v="1.5-6"/>
    <s v="1-3"/>
    <n v="12"/>
    <n v="1.9"/>
    <n v="1.1083333333333334"/>
    <n v="0.15833333333333333"/>
    <n v="0"/>
    <n v="0"/>
    <n v="0"/>
    <n v="0"/>
    <n v="510"/>
    <n v="190.5263157894737"/>
    <n v="319.47368421052636"/>
    <n v="0"/>
    <n v="0.22345679012345679"/>
    <n v="0.37469135802469133"/>
    <n v="0"/>
    <n v="0.5981481481481481"/>
    <n v="0"/>
    <n v="380"/>
    <n v="0"/>
    <n v="0"/>
    <n v="1691"/>
    <n v="890"/>
    <s v="Startup, change bars because one broke, unplug splitter chute and shutdown"/>
  </r>
  <r>
    <d v="2026-04-22T00:00:00"/>
    <x v="2"/>
    <x v="3"/>
    <s v="D"/>
    <n v="721"/>
    <n v="9733.5"/>
    <n v="963.71287128712879"/>
    <s v="3/8"/>
    <n v="0"/>
    <n v="57"/>
    <m/>
    <n v="7264"/>
    <n v="2911"/>
    <n v="4353"/>
    <m/>
    <n v="3838"/>
    <n v="0"/>
    <n v="0"/>
    <n v="0"/>
    <n v="0"/>
    <s v="2.0-6"/>
    <s v="1-3"/>
    <n v="12"/>
    <n v="10.1"/>
    <n v="5.8916666666666666"/>
    <n v="0.84166666666666667"/>
    <n v="0"/>
    <n v="0"/>
    <n v="0"/>
    <n v="0"/>
    <n v="719.20792079207922"/>
    <n v="288.21782178217825"/>
    <n v="430.99009900990103"/>
    <n v="0"/>
    <n v="0.29907022140031847"/>
    <n v="0.44721836954846661"/>
    <n v="0"/>
    <n v="0.74628859094878508"/>
    <n v="0"/>
    <n v="380"/>
    <n v="0"/>
    <n v="0"/>
    <n v="11102"/>
    <n v="1099.2079207920792"/>
    <s v="Startup, unplug splitter chute, three 292 codes and shutdown"/>
  </r>
  <r>
    <d v="2026-04-23T00:00:00"/>
    <x v="2"/>
    <x v="3"/>
    <s v="D"/>
    <n v="761"/>
    <n v="10273.5"/>
    <n v="1070.15625"/>
    <s v="3/8"/>
    <n v="0"/>
    <n v="57"/>
    <m/>
    <n v="6970"/>
    <n v="3195"/>
    <n v="3775"/>
    <m/>
    <n v="3648"/>
    <n v="0"/>
    <n v="0"/>
    <n v="0"/>
    <n v="0"/>
    <s v="2.0-6"/>
    <s v="1-3"/>
    <n v="12"/>
    <n v="9.6"/>
    <n v="5.6000000000000005"/>
    <n v="0.79999999999999993"/>
    <n v="0"/>
    <n v="0"/>
    <n v="0"/>
    <n v="0"/>
    <n v="726.04166666666674"/>
    <n v="332.8125"/>
    <n v="393.22916666666669"/>
    <n v="0"/>
    <n v="0.31099430573806397"/>
    <n v="0.36745023604419136"/>
    <n v="0"/>
    <n v="0.67844454178225533"/>
    <n v="0"/>
    <n v="380"/>
    <n v="0"/>
    <n v="0"/>
    <n v="10618"/>
    <n v="1106.0416666666667"/>
    <s v="Startup, flip gates in splitter chute to even out 57 and two 292 codes"/>
  </r>
  <r>
    <d v="2026-04-24T00:00:00"/>
    <x v="2"/>
    <x v="3"/>
    <s v="D"/>
    <n v="829"/>
    <n v="11191.5"/>
    <n v="1086.5533980582522"/>
    <s v="3/8"/>
    <n v="0"/>
    <n v="57"/>
    <m/>
    <n v="7737"/>
    <n v="3853"/>
    <n v="3884"/>
    <m/>
    <n v="3914"/>
    <n v="0"/>
    <n v="0"/>
    <n v="0"/>
    <n v="0"/>
    <s v="1.5-6"/>
    <s v="1-3"/>
    <n v="12"/>
    <n v="10.3"/>
    <n v="6.0083333333333337"/>
    <n v="0.85833333333333339"/>
    <n v="0"/>
    <n v="0"/>
    <n v="0"/>
    <n v="0"/>
    <n v="751.1650485436893"/>
    <n v="374.07766990291259"/>
    <n v="377.08737864077665"/>
    <n v="0"/>
    <n v="0.34427914041906804"/>
    <n v="0.34704909976321313"/>
    <n v="0"/>
    <n v="0.69132824018228112"/>
    <n v="0"/>
    <n v="380"/>
    <n v="0"/>
    <n v="0"/>
    <n v="11651"/>
    <n v="1131.1650485436894"/>
    <s v="Stockpile rewashed 57, clean discharge lip on superior screen and shutd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9A12B-A891-4FA9-8567-85628334FD6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13:D218" firstHeaderRow="1" firstDataRow="2" firstDataCol="1" rowPageCount="1" colPageCount="1"/>
  <pivotFields count="17"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Col" showAll="0">
      <items count="8">
        <item m="1" x="4"/>
        <item m="1" x="5"/>
        <item m="1" x="3"/>
        <item m="1" x="6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 v="5"/>
    </i>
    <i>
      <x v="6"/>
    </i>
    <i t="grand">
      <x/>
    </i>
  </colItems>
  <pageFields count="1">
    <pageField fld="1" item="0" hier="-1"/>
  </pageFields>
  <dataFields count="1">
    <dataField name="Average of TPH Fed Calculated" fld="11" subtotal="average" baseField="2" baseItem="2" numFmtId="1"/>
  </dataFields>
  <chartFormats count="3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EF54B-1E68-4A9A-8D18-20249F44038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81:C186" firstHeaderRow="0" firstDataRow="1" firstDataCol="1" rowPageCount="1" colPageCount="1"/>
  <pivotFields count="4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2" hier="-1"/>
  </pageFields>
  <dataFields count="2">
    <dataField name="Sum of Kleemen 57-1" fld="12" baseField="0" baseItem="0"/>
    <dataField name="Sum of Kleemen 57-2" fld="13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EB017-C3F8-4E33-90D0-9EBF53EB40D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8:C53" firstHeaderRow="0" firstDataRow="1" firstDataCol="1" rowPageCount="1" colPageCount="1"/>
  <pivotFields count="4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2" hier="-1"/>
  </pageFields>
  <dataFields count="2">
    <dataField name="Average of 57-2 TPH" fld="32" subtotal="average" baseField="2" baseItem="4" numFmtId="1"/>
    <dataField name="Average of 57-1 TPH" fld="31" subtotal="average" baseField="2" baseItem="4" numFmtId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FD6BA-0067-4874-B56A-05FD189665E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58:B163" firstHeaderRow="1" firstDataRow="1" firstDataCol="1" rowPageCount="1" colPageCount="1"/>
  <pivotFields count="4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2" hier="-1"/>
  </pageFields>
  <dataFields count="1">
    <dataField name="Sum of Both side combined 57or 67" fld="11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C38F1-6495-4DA4-AF08-074674E9B4B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6:B31" firstHeaderRow="1" firstDataRow="1" firstDataCol="1" rowPageCount="1" colPageCount="1"/>
  <pivotFields count="4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2" hier="-1"/>
  </pageFields>
  <dataFields count="1">
    <dataField name="Average of Run Time %" fld="25" subtotal="average" baseField="2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3F241-1B9D-42D1-986F-8C3A8B17B5C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:B10" firstHeaderRow="1" firstDataRow="1" firstDataCol="1" rowPageCount="1" colPageCount="1"/>
  <pivotFields count="4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2" hier="-1"/>
  </pageFields>
  <dataFields count="1">
    <dataField name="Average of TPH Fed" fld="6" subtotal="average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D551B-5245-43A5-9541-158E15ED1C6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35:B140" firstHeaderRow="1" firstDataRow="1" firstDataCol="1" rowPageCount="1" colPageCount="1"/>
  <pivotFields count="4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dataField="1" showAll="0"/>
    <pivotField numFmtId="1" showAll="0"/>
    <pivotField numFmtId="1" showAll="0"/>
    <pivotField showAll="0"/>
    <pivotField showAll="0"/>
    <pivotField showAll="0"/>
    <pivotField numFmtI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2" hier="-1"/>
  </pageFields>
  <dataFields count="1">
    <dataField name="Average of Total 57's Yield" fld="37" subtotal="average" baseField="2" baseItem="0" numFmtId="2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47BC5-238B-4415-B990-19F184D4F59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08:C113" firstHeaderRow="0" firstDataRow="1" firstDataCol="1" rowPageCount="1" colPageCount="1"/>
  <pivotFields count="4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2" hier="-1"/>
  </pageFields>
  <dataFields count="2">
    <dataField name="Average of 57-1 Yield" fld="34" subtotal="average" baseField="2" baseItem="0" numFmtId="2"/>
    <dataField name="Average of 57-2 Yield" fld="35" subtotal="average" baseField="2" baseItem="0" numFmtId="2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5712D-E6A6-4349-9BF2-53F2BD13953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74:B79" firstHeaderRow="1" firstDataRow="1" firstDataCol="1" rowPageCount="1" colPageCount="1"/>
  <pivotFields count="4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2" hier="-1"/>
  </pageFields>
  <dataFields count="1">
    <dataField name="Average of Both side combined 57or 67 TPH" fld="30" subtotal="average" baseField="2" baseItem="0" numFmtId="1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" dT="2024-01-05T13:25:21.60" personId="{C6302EA0-898B-47B7-AABF-382ECD4A3CE9}" id="{721653A5-EF55-486D-9CD5-43EB1B21E8AA}">
    <text>Screen serd over sent to Crusher run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61BA-48DF-4877-808E-B48CD4CAEC06}">
  <sheetPr>
    <pageSetUpPr fitToPage="1"/>
  </sheetPr>
  <dimension ref="A1:H218"/>
  <sheetViews>
    <sheetView tabSelected="1" workbookViewId="0">
      <selection sqref="A1:O232"/>
    </sheetView>
  </sheetViews>
  <sheetFormatPr defaultRowHeight="15" x14ac:dyDescent="0.25"/>
  <cols>
    <col min="1" max="1" width="13.42578125" bestFit="1" customWidth="1"/>
    <col min="2" max="2" width="18.42578125" bestFit="1" customWidth="1"/>
    <col min="3" max="3" width="18.85546875" bestFit="1" customWidth="1"/>
    <col min="4" max="5" width="11.28515625" bestFit="1" customWidth="1"/>
    <col min="6" max="6" width="7.28515625" bestFit="1" customWidth="1"/>
    <col min="7" max="7" width="12" bestFit="1" customWidth="1"/>
    <col min="8" max="9" width="17" bestFit="1" customWidth="1"/>
    <col min="10" max="11" width="11.28515625" bestFit="1" customWidth="1"/>
    <col min="12" max="22" width="12" bestFit="1" customWidth="1"/>
    <col min="23" max="23" width="11" bestFit="1" customWidth="1"/>
    <col min="24" max="24" width="7.7109375" bestFit="1" customWidth="1"/>
    <col min="25" max="30" width="12" bestFit="1" customWidth="1"/>
    <col min="31" max="31" width="10" bestFit="1" customWidth="1"/>
    <col min="32" max="34" width="12" bestFit="1" customWidth="1"/>
    <col min="35" max="35" width="11" bestFit="1" customWidth="1"/>
    <col min="36" max="36" width="12" bestFit="1" customWidth="1"/>
    <col min="37" max="37" width="11" bestFit="1" customWidth="1"/>
    <col min="38" max="38" width="12" bestFit="1" customWidth="1"/>
    <col min="39" max="39" width="8.42578125" bestFit="1" customWidth="1"/>
    <col min="40" max="48" width="12" bestFit="1" customWidth="1"/>
    <col min="49" max="49" width="9.85546875" bestFit="1" customWidth="1"/>
    <col min="50" max="50" width="11" bestFit="1" customWidth="1"/>
    <col min="51" max="63" width="12" bestFit="1" customWidth="1"/>
    <col min="64" max="64" width="11" bestFit="1" customWidth="1"/>
    <col min="65" max="80" width="12" bestFit="1" customWidth="1"/>
    <col min="81" max="81" width="11" bestFit="1" customWidth="1"/>
    <col min="82" max="87" width="12" bestFit="1" customWidth="1"/>
    <col min="88" max="88" width="11" bestFit="1" customWidth="1"/>
    <col min="89" max="96" width="12" bestFit="1" customWidth="1"/>
    <col min="97" max="98" width="11" bestFit="1" customWidth="1"/>
    <col min="99" max="99" width="12" bestFit="1" customWidth="1"/>
    <col min="100" max="100" width="9.140625" bestFit="1" customWidth="1"/>
    <col min="101" max="101" width="12.140625" bestFit="1" customWidth="1"/>
    <col min="102" max="102" width="11.28515625" bestFit="1" customWidth="1"/>
    <col min="103" max="115" width="12" bestFit="1" customWidth="1"/>
    <col min="116" max="116" width="11" bestFit="1" customWidth="1"/>
    <col min="117" max="118" width="12" bestFit="1" customWidth="1"/>
    <col min="119" max="119" width="4" bestFit="1" customWidth="1"/>
    <col min="120" max="122" width="12" bestFit="1" customWidth="1"/>
    <col min="123" max="123" width="11" bestFit="1" customWidth="1"/>
    <col min="124" max="132" width="12" bestFit="1" customWidth="1"/>
    <col min="133" max="133" width="4" bestFit="1" customWidth="1"/>
    <col min="134" max="142" width="12" bestFit="1" customWidth="1"/>
    <col min="143" max="143" width="6" bestFit="1" customWidth="1"/>
    <col min="144" max="172" width="12" bestFit="1" customWidth="1"/>
    <col min="173" max="173" width="6" bestFit="1" customWidth="1"/>
    <col min="174" max="174" width="7" bestFit="1" customWidth="1"/>
    <col min="175" max="177" width="12" bestFit="1" customWidth="1"/>
    <col min="178" max="178" width="6" bestFit="1" customWidth="1"/>
    <col min="179" max="184" width="12" bestFit="1" customWidth="1"/>
    <col min="185" max="185" width="4" bestFit="1" customWidth="1"/>
    <col min="186" max="195" width="12" bestFit="1" customWidth="1"/>
    <col min="196" max="196" width="4" bestFit="1" customWidth="1"/>
    <col min="197" max="200" width="12" bestFit="1" customWidth="1"/>
    <col min="201" max="201" width="8" bestFit="1" customWidth="1"/>
    <col min="202" max="208" width="12" bestFit="1" customWidth="1"/>
    <col min="209" max="210" width="4" bestFit="1" customWidth="1"/>
    <col min="211" max="216" width="12" bestFit="1" customWidth="1"/>
    <col min="217" max="217" width="6" bestFit="1" customWidth="1"/>
    <col min="218" max="226" width="12" bestFit="1" customWidth="1"/>
    <col min="227" max="227" width="11" bestFit="1" customWidth="1"/>
    <col min="228" max="230" width="12" bestFit="1" customWidth="1"/>
    <col min="231" max="231" width="4" bestFit="1" customWidth="1"/>
    <col min="232" max="256" width="12" bestFit="1" customWidth="1"/>
    <col min="257" max="257" width="4" bestFit="1" customWidth="1"/>
    <col min="258" max="271" width="12" bestFit="1" customWidth="1"/>
    <col min="272" max="272" width="11" bestFit="1" customWidth="1"/>
    <col min="273" max="279" width="12" bestFit="1" customWidth="1"/>
    <col min="280" max="281" width="4" bestFit="1" customWidth="1"/>
    <col min="282" max="288" width="12" bestFit="1" customWidth="1"/>
    <col min="289" max="289" width="4" bestFit="1" customWidth="1"/>
    <col min="290" max="291" width="12" bestFit="1" customWidth="1"/>
    <col min="292" max="292" width="6" bestFit="1" customWidth="1"/>
    <col min="293" max="301" width="12" bestFit="1" customWidth="1"/>
    <col min="302" max="302" width="4" bestFit="1" customWidth="1"/>
    <col min="303" max="310" width="12" bestFit="1" customWidth="1"/>
    <col min="311" max="312" width="4" bestFit="1" customWidth="1"/>
    <col min="313" max="314" width="11" bestFit="1" customWidth="1"/>
    <col min="315" max="319" width="12" bestFit="1" customWidth="1"/>
    <col min="320" max="320" width="8" bestFit="1" customWidth="1"/>
    <col min="321" max="322" width="12" bestFit="1" customWidth="1"/>
    <col min="323" max="323" width="11" bestFit="1" customWidth="1"/>
    <col min="324" max="324" width="12" bestFit="1" customWidth="1"/>
    <col min="325" max="325" width="11" bestFit="1" customWidth="1"/>
    <col min="326" max="331" width="12" bestFit="1" customWidth="1"/>
    <col min="332" max="332" width="10" bestFit="1" customWidth="1"/>
    <col min="333" max="333" width="12" bestFit="1" customWidth="1"/>
    <col min="334" max="334" width="4" bestFit="1" customWidth="1"/>
    <col min="335" max="344" width="12" bestFit="1" customWidth="1"/>
    <col min="345" max="345" width="11" bestFit="1" customWidth="1"/>
    <col min="346" max="357" width="12" bestFit="1" customWidth="1"/>
    <col min="358" max="358" width="4" bestFit="1" customWidth="1"/>
    <col min="359" max="366" width="12" bestFit="1" customWidth="1"/>
    <col min="367" max="367" width="11" bestFit="1" customWidth="1"/>
    <col min="368" max="368" width="12" bestFit="1" customWidth="1"/>
    <col min="369" max="369" width="4" bestFit="1" customWidth="1"/>
    <col min="370" max="377" width="12" bestFit="1" customWidth="1"/>
    <col min="378" max="378" width="6" bestFit="1" customWidth="1"/>
    <col min="379" max="386" width="12" bestFit="1" customWidth="1"/>
    <col min="387" max="387" width="9" bestFit="1" customWidth="1"/>
    <col min="388" max="397" width="12" bestFit="1" customWidth="1"/>
    <col min="398" max="398" width="4" bestFit="1" customWidth="1"/>
    <col min="399" max="399" width="12" bestFit="1" customWidth="1"/>
    <col min="400" max="400" width="7" bestFit="1" customWidth="1"/>
    <col min="401" max="402" width="12" bestFit="1" customWidth="1"/>
    <col min="403" max="403" width="11" bestFit="1" customWidth="1"/>
    <col min="404" max="404" width="12" bestFit="1" customWidth="1"/>
    <col min="405" max="406" width="11" bestFit="1" customWidth="1"/>
    <col min="407" max="432" width="12" bestFit="1" customWidth="1"/>
    <col min="433" max="433" width="10" bestFit="1" customWidth="1"/>
    <col min="434" max="445" width="12" bestFit="1" customWidth="1"/>
    <col min="446" max="446" width="6" bestFit="1" customWidth="1"/>
    <col min="447" max="449" width="12" bestFit="1" customWidth="1"/>
    <col min="450" max="450" width="11" bestFit="1" customWidth="1"/>
    <col min="451" max="458" width="12" bestFit="1" customWidth="1"/>
    <col min="459" max="459" width="7" bestFit="1" customWidth="1"/>
    <col min="460" max="479" width="12" bestFit="1" customWidth="1"/>
    <col min="480" max="480" width="9" bestFit="1" customWidth="1"/>
    <col min="481" max="489" width="12" bestFit="1" customWidth="1"/>
    <col min="490" max="490" width="4" bestFit="1" customWidth="1"/>
    <col min="491" max="498" width="12" bestFit="1" customWidth="1"/>
    <col min="499" max="499" width="11" bestFit="1" customWidth="1"/>
    <col min="500" max="503" width="12" bestFit="1" customWidth="1"/>
    <col min="504" max="505" width="4" bestFit="1" customWidth="1"/>
    <col min="506" max="529" width="12" bestFit="1" customWidth="1"/>
    <col min="530" max="530" width="10" bestFit="1" customWidth="1"/>
    <col min="531" max="534" width="12" bestFit="1" customWidth="1"/>
    <col min="535" max="535" width="8" bestFit="1" customWidth="1"/>
    <col min="536" max="539" width="12" bestFit="1" customWidth="1"/>
    <col min="540" max="540" width="9" bestFit="1" customWidth="1"/>
    <col min="541" max="558" width="12" bestFit="1" customWidth="1"/>
    <col min="559" max="559" width="11" bestFit="1" customWidth="1"/>
    <col min="560" max="566" width="12" bestFit="1" customWidth="1"/>
    <col min="567" max="567" width="4" bestFit="1" customWidth="1"/>
    <col min="568" max="569" width="12" bestFit="1" customWidth="1"/>
    <col min="570" max="570" width="7" bestFit="1" customWidth="1"/>
    <col min="571" max="571" width="11" bestFit="1" customWidth="1"/>
    <col min="572" max="575" width="12" bestFit="1" customWidth="1"/>
    <col min="576" max="576" width="11" bestFit="1" customWidth="1"/>
    <col min="577" max="577" width="4" bestFit="1" customWidth="1"/>
    <col min="578" max="578" width="12" bestFit="1" customWidth="1"/>
    <col min="579" max="579" width="11" bestFit="1" customWidth="1"/>
    <col min="580" max="587" width="12" bestFit="1" customWidth="1"/>
    <col min="588" max="588" width="11" bestFit="1" customWidth="1"/>
    <col min="589" max="589" width="12" bestFit="1" customWidth="1"/>
    <col min="590" max="590" width="4" bestFit="1" customWidth="1"/>
    <col min="591" max="604" width="12" bestFit="1" customWidth="1"/>
    <col min="605" max="605" width="11" bestFit="1" customWidth="1"/>
    <col min="606" max="606" width="4" bestFit="1" customWidth="1"/>
    <col min="607" max="608" width="12" bestFit="1" customWidth="1"/>
    <col min="609" max="609" width="11" bestFit="1" customWidth="1"/>
    <col min="610" max="614" width="12" bestFit="1" customWidth="1"/>
    <col min="615" max="615" width="4" bestFit="1" customWidth="1"/>
    <col min="616" max="628" width="12" bestFit="1" customWidth="1"/>
    <col min="629" max="629" width="8" bestFit="1" customWidth="1"/>
    <col min="630" max="643" width="12" bestFit="1" customWidth="1"/>
    <col min="644" max="644" width="11" bestFit="1" customWidth="1"/>
    <col min="645" max="651" width="12" bestFit="1" customWidth="1"/>
    <col min="652" max="652" width="4" bestFit="1" customWidth="1"/>
    <col min="653" max="668" width="12" bestFit="1" customWidth="1"/>
    <col min="669" max="669" width="11" bestFit="1" customWidth="1"/>
    <col min="670" max="670" width="12" bestFit="1" customWidth="1"/>
    <col min="671" max="671" width="11" bestFit="1" customWidth="1"/>
    <col min="672" max="675" width="12" bestFit="1" customWidth="1"/>
    <col min="676" max="676" width="7" bestFit="1" customWidth="1"/>
    <col min="677" max="678" width="12" bestFit="1" customWidth="1"/>
    <col min="679" max="681" width="4" bestFit="1" customWidth="1"/>
    <col min="682" max="683" width="12" bestFit="1" customWidth="1"/>
    <col min="684" max="684" width="6" bestFit="1" customWidth="1"/>
    <col min="685" max="685" width="11" bestFit="1" customWidth="1"/>
    <col min="686" max="694" width="12" bestFit="1" customWidth="1"/>
    <col min="695" max="695" width="11" bestFit="1" customWidth="1"/>
    <col min="696" max="704" width="12" bestFit="1" customWidth="1"/>
    <col min="705" max="705" width="11" bestFit="1" customWidth="1"/>
    <col min="706" max="716" width="12" bestFit="1" customWidth="1"/>
    <col min="717" max="717" width="11" bestFit="1" customWidth="1"/>
    <col min="718" max="718" width="4" bestFit="1" customWidth="1"/>
    <col min="719" max="720" width="12" bestFit="1" customWidth="1"/>
    <col min="721" max="721" width="7" bestFit="1" customWidth="1"/>
    <col min="722" max="725" width="12" bestFit="1" customWidth="1"/>
    <col min="726" max="726" width="11" bestFit="1" customWidth="1"/>
    <col min="727" max="729" width="12" bestFit="1" customWidth="1"/>
    <col min="730" max="730" width="10" bestFit="1" customWidth="1"/>
    <col min="731" max="731" width="12" bestFit="1" customWidth="1"/>
    <col min="732" max="732" width="8" bestFit="1" customWidth="1"/>
    <col min="733" max="733" width="12" bestFit="1" customWidth="1"/>
    <col min="734" max="734" width="11" bestFit="1" customWidth="1"/>
    <col min="735" max="736" width="12" bestFit="1" customWidth="1"/>
    <col min="737" max="737" width="11" bestFit="1" customWidth="1"/>
    <col min="738" max="756" width="12" bestFit="1" customWidth="1"/>
    <col min="757" max="757" width="6" bestFit="1" customWidth="1"/>
    <col min="758" max="761" width="12" bestFit="1" customWidth="1"/>
    <col min="762" max="762" width="11" bestFit="1" customWidth="1"/>
    <col min="763" max="763" width="9" bestFit="1" customWidth="1"/>
    <col min="764" max="768" width="12" bestFit="1" customWidth="1"/>
    <col min="769" max="769" width="8" bestFit="1" customWidth="1"/>
    <col min="770" max="773" width="12" bestFit="1" customWidth="1"/>
    <col min="774" max="774" width="11" bestFit="1" customWidth="1"/>
    <col min="775" max="778" width="12" bestFit="1" customWidth="1"/>
    <col min="779" max="779" width="6" bestFit="1" customWidth="1"/>
    <col min="780" max="786" width="12" bestFit="1" customWidth="1"/>
    <col min="787" max="787" width="7" bestFit="1" customWidth="1"/>
    <col min="788" max="792" width="12" bestFit="1" customWidth="1"/>
    <col min="793" max="793" width="4" bestFit="1" customWidth="1"/>
    <col min="794" max="807" width="12" bestFit="1" customWidth="1"/>
    <col min="808" max="808" width="11" bestFit="1" customWidth="1"/>
    <col min="809" max="813" width="12" bestFit="1" customWidth="1"/>
    <col min="814" max="814" width="11" bestFit="1" customWidth="1"/>
    <col min="815" max="821" width="12" bestFit="1" customWidth="1"/>
    <col min="822" max="822" width="4" bestFit="1" customWidth="1"/>
    <col min="823" max="825" width="12" bestFit="1" customWidth="1"/>
    <col min="826" max="826" width="10" bestFit="1" customWidth="1"/>
    <col min="827" max="827" width="4" bestFit="1" customWidth="1"/>
    <col min="828" max="828" width="11" bestFit="1" customWidth="1"/>
    <col min="829" max="833" width="12" bestFit="1" customWidth="1"/>
    <col min="834" max="834" width="8" bestFit="1" customWidth="1"/>
    <col min="835" max="840" width="12" bestFit="1" customWidth="1"/>
    <col min="841" max="841" width="6" bestFit="1" customWidth="1"/>
    <col min="842" max="843" width="12" bestFit="1" customWidth="1"/>
    <col min="844" max="844" width="4" bestFit="1" customWidth="1"/>
    <col min="845" max="857" width="12" bestFit="1" customWidth="1"/>
    <col min="858" max="858" width="9" bestFit="1" customWidth="1"/>
    <col min="859" max="875" width="12" bestFit="1" customWidth="1"/>
    <col min="876" max="876" width="6" bestFit="1" customWidth="1"/>
    <col min="877" max="877" width="9" bestFit="1" customWidth="1"/>
    <col min="878" max="878" width="12" bestFit="1" customWidth="1"/>
    <col min="879" max="879" width="8" bestFit="1" customWidth="1"/>
    <col min="880" max="882" width="12" bestFit="1" customWidth="1"/>
    <col min="883" max="883" width="7" bestFit="1" customWidth="1"/>
    <col min="884" max="884" width="12" bestFit="1" customWidth="1"/>
    <col min="885" max="885" width="11" bestFit="1" customWidth="1"/>
    <col min="886" max="891" width="12" bestFit="1" customWidth="1"/>
    <col min="892" max="892" width="4" bestFit="1" customWidth="1"/>
    <col min="893" max="893" width="12" bestFit="1" customWidth="1"/>
    <col min="894" max="894" width="7" bestFit="1" customWidth="1"/>
    <col min="895" max="905" width="12" bestFit="1" customWidth="1"/>
    <col min="906" max="906" width="4" bestFit="1" customWidth="1"/>
    <col min="907" max="907" width="9" bestFit="1" customWidth="1"/>
    <col min="908" max="909" width="12" bestFit="1" customWidth="1"/>
    <col min="910" max="910" width="4" bestFit="1" customWidth="1"/>
    <col min="911" max="917" width="12" bestFit="1" customWidth="1"/>
    <col min="918" max="918" width="8" bestFit="1" customWidth="1"/>
    <col min="919" max="919" width="12" bestFit="1" customWidth="1"/>
    <col min="920" max="920" width="4" bestFit="1" customWidth="1"/>
    <col min="921" max="928" width="12" bestFit="1" customWidth="1"/>
    <col min="929" max="930" width="11" bestFit="1" customWidth="1"/>
    <col min="931" max="931" width="12" bestFit="1" customWidth="1"/>
    <col min="932" max="932" width="8" bestFit="1" customWidth="1"/>
    <col min="933" max="938" width="12" bestFit="1" customWidth="1"/>
    <col min="939" max="939" width="4" bestFit="1" customWidth="1"/>
    <col min="940" max="944" width="12" bestFit="1" customWidth="1"/>
    <col min="945" max="945" width="6" bestFit="1" customWidth="1"/>
    <col min="946" max="950" width="12" bestFit="1" customWidth="1"/>
    <col min="951" max="951" width="4" bestFit="1" customWidth="1"/>
    <col min="952" max="955" width="12" bestFit="1" customWidth="1"/>
    <col min="956" max="956" width="6" bestFit="1" customWidth="1"/>
    <col min="957" max="961" width="12" bestFit="1" customWidth="1"/>
    <col min="962" max="962" width="6" bestFit="1" customWidth="1"/>
    <col min="963" max="964" width="11" bestFit="1" customWidth="1"/>
    <col min="965" max="965" width="12" bestFit="1" customWidth="1"/>
    <col min="966" max="966" width="6" bestFit="1" customWidth="1"/>
    <col min="967" max="968" width="12" bestFit="1" customWidth="1"/>
    <col min="969" max="969" width="4" bestFit="1" customWidth="1"/>
    <col min="970" max="975" width="12" bestFit="1" customWidth="1"/>
    <col min="976" max="976" width="6" bestFit="1" customWidth="1"/>
    <col min="977" max="978" width="12" bestFit="1" customWidth="1"/>
    <col min="979" max="979" width="11" bestFit="1" customWidth="1"/>
    <col min="980" max="980" width="8" bestFit="1" customWidth="1"/>
    <col min="981" max="987" width="12" bestFit="1" customWidth="1"/>
    <col min="988" max="988" width="6" bestFit="1" customWidth="1"/>
    <col min="989" max="993" width="12" bestFit="1" customWidth="1"/>
    <col min="994" max="994" width="11" bestFit="1" customWidth="1"/>
    <col min="995" max="1011" width="12" bestFit="1" customWidth="1"/>
    <col min="1012" max="1012" width="6" bestFit="1" customWidth="1"/>
    <col min="1013" max="1015" width="12" bestFit="1" customWidth="1"/>
    <col min="1016" max="1016" width="4" bestFit="1" customWidth="1"/>
    <col min="1017" max="1021" width="12" bestFit="1" customWidth="1"/>
    <col min="1022" max="1022" width="7" bestFit="1" customWidth="1"/>
    <col min="1023" max="1046" width="12" bestFit="1" customWidth="1"/>
    <col min="1047" max="1047" width="4" bestFit="1" customWidth="1"/>
    <col min="1048" max="1054" width="12" bestFit="1" customWidth="1"/>
    <col min="1055" max="1055" width="8" bestFit="1" customWidth="1"/>
    <col min="1056" max="1056" width="12" bestFit="1" customWidth="1"/>
    <col min="1057" max="1057" width="6" bestFit="1" customWidth="1"/>
    <col min="1058" max="1058" width="11" bestFit="1" customWidth="1"/>
    <col min="1059" max="1064" width="12" bestFit="1" customWidth="1"/>
    <col min="1065" max="1065" width="10" bestFit="1" customWidth="1"/>
    <col min="1066" max="1070" width="12" bestFit="1" customWidth="1"/>
    <col min="1071" max="1071" width="4" bestFit="1" customWidth="1"/>
    <col min="1072" max="1079" width="12" bestFit="1" customWidth="1"/>
    <col min="1080" max="1080" width="6" bestFit="1" customWidth="1"/>
    <col min="1081" max="1085" width="12" bestFit="1" customWidth="1"/>
    <col min="1086" max="1086" width="10" bestFit="1" customWidth="1"/>
    <col min="1087" max="1088" width="12" bestFit="1" customWidth="1"/>
    <col min="1089" max="1089" width="4" bestFit="1" customWidth="1"/>
    <col min="1090" max="1104" width="12" bestFit="1" customWidth="1"/>
    <col min="1105" max="1105" width="11" bestFit="1" customWidth="1"/>
    <col min="1106" max="1109" width="12" bestFit="1" customWidth="1"/>
    <col min="1110" max="1110" width="4" bestFit="1" customWidth="1"/>
    <col min="1111" max="1111" width="11" bestFit="1" customWidth="1"/>
    <col min="1112" max="1112" width="12" bestFit="1" customWidth="1"/>
    <col min="1113" max="1113" width="11" bestFit="1" customWidth="1"/>
    <col min="1114" max="1114" width="8" bestFit="1" customWidth="1"/>
    <col min="1115" max="1125" width="12" bestFit="1" customWidth="1"/>
    <col min="1126" max="1126" width="4" bestFit="1" customWidth="1"/>
    <col min="1127" max="1135" width="12" bestFit="1" customWidth="1"/>
    <col min="1136" max="1136" width="6" bestFit="1" customWidth="1"/>
    <col min="1137" max="1137" width="10" bestFit="1" customWidth="1"/>
    <col min="1138" max="1138" width="11" bestFit="1" customWidth="1"/>
    <col min="1139" max="1141" width="12" bestFit="1" customWidth="1"/>
    <col min="1142" max="1142" width="4" bestFit="1" customWidth="1"/>
    <col min="1143" max="1146" width="12" bestFit="1" customWidth="1"/>
    <col min="1147" max="1147" width="11" bestFit="1" customWidth="1"/>
    <col min="1148" max="1150" width="12" bestFit="1" customWidth="1"/>
    <col min="1151" max="1151" width="11" bestFit="1" customWidth="1"/>
    <col min="1152" max="1154" width="12" bestFit="1" customWidth="1"/>
    <col min="1155" max="1155" width="4" bestFit="1" customWidth="1"/>
    <col min="1156" max="1166" width="12" bestFit="1" customWidth="1"/>
    <col min="1167" max="1167" width="4" bestFit="1" customWidth="1"/>
    <col min="1168" max="1179" width="12" bestFit="1" customWidth="1"/>
    <col min="1180" max="1180" width="4" bestFit="1" customWidth="1"/>
    <col min="1181" max="1181" width="10" bestFit="1" customWidth="1"/>
    <col min="1182" max="1186" width="12" bestFit="1" customWidth="1"/>
    <col min="1187" max="1187" width="11" bestFit="1" customWidth="1"/>
    <col min="1188" max="1191" width="12" bestFit="1" customWidth="1"/>
    <col min="1192" max="1192" width="4" bestFit="1" customWidth="1"/>
    <col min="1193" max="1193" width="12" bestFit="1" customWidth="1"/>
    <col min="1194" max="1194" width="4" bestFit="1" customWidth="1"/>
    <col min="1195" max="1201" width="12" bestFit="1" customWidth="1"/>
    <col min="1202" max="1202" width="7" bestFit="1" customWidth="1"/>
    <col min="1203" max="1212" width="12" bestFit="1" customWidth="1"/>
    <col min="1213" max="1213" width="11" bestFit="1" customWidth="1"/>
    <col min="1214" max="1214" width="12" bestFit="1" customWidth="1"/>
    <col min="1215" max="1215" width="4" bestFit="1" customWidth="1"/>
    <col min="1216" max="1236" width="12" bestFit="1" customWidth="1"/>
    <col min="1237" max="1237" width="9" bestFit="1" customWidth="1"/>
    <col min="1238" max="1249" width="12" bestFit="1" customWidth="1"/>
    <col min="1250" max="1250" width="11" bestFit="1" customWidth="1"/>
    <col min="1251" max="1255" width="12" bestFit="1" customWidth="1"/>
    <col min="1256" max="1256" width="4" bestFit="1" customWidth="1"/>
    <col min="1257" max="1257" width="11" bestFit="1" customWidth="1"/>
    <col min="1258" max="1268" width="12" bestFit="1" customWidth="1"/>
    <col min="1269" max="1269" width="11" bestFit="1" customWidth="1"/>
    <col min="1270" max="1275" width="12" bestFit="1" customWidth="1"/>
    <col min="1276" max="1276" width="4" bestFit="1" customWidth="1"/>
    <col min="1277" max="1289" width="12" bestFit="1" customWidth="1"/>
    <col min="1290" max="1290" width="4" bestFit="1" customWidth="1"/>
    <col min="1291" max="1299" width="12" bestFit="1" customWidth="1"/>
    <col min="1300" max="1300" width="6" bestFit="1" customWidth="1"/>
    <col min="1301" max="1301" width="12" bestFit="1" customWidth="1"/>
    <col min="1302" max="1302" width="9" bestFit="1" customWidth="1"/>
    <col min="1303" max="1303" width="12" bestFit="1" customWidth="1"/>
    <col min="1304" max="1304" width="8" bestFit="1" customWidth="1"/>
    <col min="1305" max="1305" width="4" bestFit="1" customWidth="1"/>
    <col min="1306" max="1310" width="12" bestFit="1" customWidth="1"/>
    <col min="1311" max="1311" width="8" bestFit="1" customWidth="1"/>
    <col min="1312" max="1312" width="12" bestFit="1" customWidth="1"/>
    <col min="1313" max="1313" width="10" bestFit="1" customWidth="1"/>
    <col min="1314" max="1319" width="12" bestFit="1" customWidth="1"/>
    <col min="1320" max="1320" width="6" bestFit="1" customWidth="1"/>
    <col min="1321" max="1325" width="12" bestFit="1" customWidth="1"/>
    <col min="1326" max="1326" width="11" bestFit="1" customWidth="1"/>
    <col min="1327" max="1327" width="12" bestFit="1" customWidth="1"/>
    <col min="1328" max="1328" width="4" bestFit="1" customWidth="1"/>
    <col min="1329" max="1333" width="12" bestFit="1" customWidth="1"/>
    <col min="1334" max="1334" width="4" bestFit="1" customWidth="1"/>
    <col min="1335" max="1336" width="12" bestFit="1" customWidth="1"/>
    <col min="1337" max="1337" width="11" bestFit="1" customWidth="1"/>
    <col min="1338" max="1343" width="12" bestFit="1" customWidth="1"/>
    <col min="1344" max="1346" width="11" bestFit="1" customWidth="1"/>
    <col min="1347" max="1351" width="12" bestFit="1" customWidth="1"/>
    <col min="1352" max="1352" width="4" bestFit="1" customWidth="1"/>
    <col min="1353" max="1359" width="12" bestFit="1" customWidth="1"/>
    <col min="1360" max="1360" width="4" bestFit="1" customWidth="1"/>
    <col min="1361" max="1361" width="6" bestFit="1" customWidth="1"/>
    <col min="1362" max="1362" width="12" bestFit="1" customWidth="1"/>
    <col min="1363" max="1363" width="5" bestFit="1" customWidth="1"/>
    <col min="1364" max="1364" width="7.5703125" bestFit="1" customWidth="1"/>
    <col min="1365" max="1365" width="8.42578125" bestFit="1" customWidth="1"/>
    <col min="1366" max="1366" width="7.28515625" bestFit="1" customWidth="1"/>
    <col min="1367" max="1367" width="11.28515625" bestFit="1" customWidth="1"/>
    <col min="1368" max="1378" width="9.42578125" bestFit="1" customWidth="1"/>
    <col min="1379" max="1387" width="8.42578125" bestFit="1" customWidth="1"/>
    <col min="1388" max="1408" width="9.42578125" bestFit="1" customWidth="1"/>
    <col min="1409" max="1417" width="8.42578125" bestFit="1" customWidth="1"/>
    <col min="1418" max="1439" width="9.42578125" bestFit="1" customWidth="1"/>
    <col min="1440" max="1446" width="8.42578125" bestFit="1" customWidth="1"/>
    <col min="1447" max="1468" width="9.42578125" bestFit="1" customWidth="1"/>
    <col min="1469" max="1477" width="8.42578125" bestFit="1" customWidth="1"/>
    <col min="1478" max="1505" width="9.42578125" bestFit="1" customWidth="1"/>
    <col min="1506" max="1527" width="10.28515625" bestFit="1" customWidth="1"/>
    <col min="1528" max="1536" width="9.42578125" bestFit="1" customWidth="1"/>
    <col min="1537" max="1556" width="10.28515625" bestFit="1" customWidth="1"/>
    <col min="1557" max="1565" width="9.42578125" bestFit="1" customWidth="1"/>
    <col min="1566" max="1587" width="10.28515625" bestFit="1" customWidth="1"/>
    <col min="1588" max="1596" width="8.42578125" bestFit="1" customWidth="1"/>
    <col min="1597" max="1618" width="9.42578125" bestFit="1" customWidth="1"/>
    <col min="1619" max="1627" width="8.42578125" bestFit="1" customWidth="1"/>
    <col min="1628" max="1646" width="9.42578125" bestFit="1" customWidth="1"/>
    <col min="1647" max="1655" width="8.42578125" bestFit="1" customWidth="1"/>
    <col min="1656" max="1677" width="9.42578125" bestFit="1" customWidth="1"/>
    <col min="1678" max="1686" width="8.42578125" bestFit="1" customWidth="1"/>
    <col min="1687" max="1707" width="9.42578125" bestFit="1" customWidth="1"/>
    <col min="1708" max="1715" width="8.42578125" bestFit="1" customWidth="1"/>
    <col min="1716" max="1737" width="9.42578125" bestFit="1" customWidth="1"/>
    <col min="1738" max="1746" width="8.42578125" bestFit="1" customWidth="1"/>
    <col min="1747" max="1767" width="9.42578125" bestFit="1" customWidth="1"/>
    <col min="1768" max="1776" width="8.42578125" bestFit="1" customWidth="1"/>
    <col min="1777" max="1798" width="9.42578125" bestFit="1" customWidth="1"/>
    <col min="1799" max="1807" width="8.42578125" bestFit="1" customWidth="1"/>
    <col min="1808" max="1825" width="9.42578125" bestFit="1" customWidth="1"/>
    <col min="1826" max="1834" width="8.42578125" bestFit="1" customWidth="1"/>
    <col min="1835" max="1861" width="9.42578125" bestFit="1" customWidth="1"/>
    <col min="1862" max="1883" width="10.28515625" bestFit="1" customWidth="1"/>
    <col min="1884" max="1892" width="9.42578125" bestFit="1" customWidth="1"/>
    <col min="1893" max="1913" width="10.28515625" bestFit="1" customWidth="1"/>
    <col min="1914" max="1922" width="9.42578125" bestFit="1" customWidth="1"/>
    <col min="1923" max="1942" width="10.28515625" bestFit="1" customWidth="1"/>
    <col min="1943" max="1951" width="8.42578125" bestFit="1" customWidth="1"/>
    <col min="1952" max="1973" width="9.42578125" bestFit="1" customWidth="1"/>
    <col min="1974" max="1982" width="8.42578125" bestFit="1" customWidth="1"/>
    <col min="1983" max="2002" width="9.42578125" bestFit="1" customWidth="1"/>
    <col min="2003" max="2011" width="8.42578125" bestFit="1" customWidth="1"/>
    <col min="2012" max="2033" width="9.42578125" bestFit="1" customWidth="1"/>
    <col min="2034" max="2042" width="8.42578125" bestFit="1" customWidth="1"/>
    <col min="2043" max="2063" width="9.42578125" bestFit="1" customWidth="1"/>
    <col min="2064" max="2072" width="8.42578125" bestFit="1" customWidth="1"/>
    <col min="2073" max="2094" width="9.42578125" bestFit="1" customWidth="1"/>
    <col min="2095" max="2103" width="8.42578125" bestFit="1" customWidth="1"/>
    <col min="2104" max="2124" width="9.42578125" bestFit="1" customWidth="1"/>
    <col min="2125" max="2133" width="8.42578125" bestFit="1" customWidth="1"/>
    <col min="2134" max="2155" width="9.42578125" bestFit="1" customWidth="1"/>
    <col min="2156" max="2164" width="8.42578125" bestFit="1" customWidth="1"/>
    <col min="2165" max="2186" width="9.42578125" bestFit="1" customWidth="1"/>
    <col min="2187" max="2195" width="8.42578125" bestFit="1" customWidth="1"/>
    <col min="2196" max="2225" width="9.42578125" bestFit="1" customWidth="1"/>
    <col min="2226" max="2247" width="10.28515625" bestFit="1" customWidth="1"/>
    <col min="2248" max="2256" width="9.42578125" bestFit="1" customWidth="1"/>
    <col min="2257" max="2277" width="10.28515625" bestFit="1" customWidth="1"/>
    <col min="2278" max="2286" width="9.42578125" bestFit="1" customWidth="1"/>
    <col min="2287" max="2308" width="10.28515625" bestFit="1" customWidth="1"/>
    <col min="2309" max="2317" width="8.42578125" bestFit="1" customWidth="1"/>
    <col min="2318" max="2339" width="9.42578125" bestFit="1" customWidth="1"/>
    <col min="2340" max="2348" width="8.42578125" bestFit="1" customWidth="1"/>
    <col min="2349" max="2367" width="9.42578125" bestFit="1" customWidth="1"/>
    <col min="2368" max="2376" width="8.42578125" bestFit="1" customWidth="1"/>
    <col min="2377" max="2398" width="9.42578125" bestFit="1" customWidth="1"/>
    <col min="2399" max="2407" width="8.42578125" bestFit="1" customWidth="1"/>
    <col min="2408" max="2428" width="9.42578125" bestFit="1" customWidth="1"/>
    <col min="2429" max="2437" width="8.42578125" bestFit="1" customWidth="1"/>
    <col min="2438" max="2459" width="9.42578125" bestFit="1" customWidth="1"/>
    <col min="2460" max="2468" width="8.42578125" bestFit="1" customWidth="1"/>
    <col min="2469" max="2489" width="9.42578125" bestFit="1" customWidth="1"/>
    <col min="2490" max="2498" width="8.42578125" bestFit="1" customWidth="1"/>
    <col min="2499" max="2520" width="9.42578125" bestFit="1" customWidth="1"/>
    <col min="2521" max="2529" width="8.42578125" bestFit="1" customWidth="1"/>
    <col min="2530" max="2551" width="9.42578125" bestFit="1" customWidth="1"/>
    <col min="2552" max="2560" width="8.42578125" bestFit="1" customWidth="1"/>
    <col min="2561" max="2590" width="9.42578125" bestFit="1" customWidth="1"/>
    <col min="2591" max="2604" width="10.28515625" bestFit="1" customWidth="1"/>
    <col min="2605" max="2605" width="11.28515625" bestFit="1" customWidth="1"/>
  </cols>
  <sheetData>
    <row r="1" spans="1:8" x14ac:dyDescent="0.25">
      <c r="D1" s="122" t="s">
        <v>407</v>
      </c>
      <c r="E1" s="123"/>
      <c r="F1" s="123"/>
      <c r="G1" s="123"/>
      <c r="H1" s="123"/>
    </row>
    <row r="2" spans="1:8" x14ac:dyDescent="0.25">
      <c r="D2" s="123"/>
      <c r="E2" s="123"/>
      <c r="F2" s="123"/>
      <c r="G2" s="123"/>
      <c r="H2" s="123"/>
    </row>
    <row r="3" spans="1:8" x14ac:dyDescent="0.25">
      <c r="A3" s="1" t="s">
        <v>3</v>
      </c>
      <c r="B3" t="s">
        <v>416</v>
      </c>
    </row>
    <row r="5" spans="1:8" x14ac:dyDescent="0.25">
      <c r="A5" s="1" t="s">
        <v>0</v>
      </c>
      <c r="B5" t="s">
        <v>402</v>
      </c>
    </row>
    <row r="6" spans="1:8" x14ac:dyDescent="0.25">
      <c r="A6" s="2" t="s">
        <v>403</v>
      </c>
      <c r="B6" s="71">
        <v>856.36283609712791</v>
      </c>
    </row>
    <row r="7" spans="1:8" x14ac:dyDescent="0.25">
      <c r="A7" s="2" t="s">
        <v>404</v>
      </c>
      <c r="B7" s="71">
        <v>982.84942356516365</v>
      </c>
    </row>
    <row r="8" spans="1:8" x14ac:dyDescent="0.25">
      <c r="A8" s="2" t="s">
        <v>405</v>
      </c>
      <c r="B8" s="71">
        <v>1009.7168969686411</v>
      </c>
    </row>
    <row r="9" spans="1:8" x14ac:dyDescent="0.25">
      <c r="A9" s="2" t="s">
        <v>406</v>
      </c>
      <c r="B9" s="71">
        <v>982.51301483060843</v>
      </c>
    </row>
    <row r="10" spans="1:8" x14ac:dyDescent="0.25">
      <c r="A10" s="2" t="s">
        <v>1</v>
      </c>
      <c r="B10" s="71">
        <v>962.85169000118822</v>
      </c>
    </row>
    <row r="24" spans="1:2" x14ac:dyDescent="0.25">
      <c r="A24" s="1" t="s">
        <v>3</v>
      </c>
      <c r="B24" t="s">
        <v>416</v>
      </c>
    </row>
    <row r="26" spans="1:2" x14ac:dyDescent="0.25">
      <c r="A26" s="1" t="s">
        <v>0</v>
      </c>
      <c r="B26" t="s">
        <v>408</v>
      </c>
    </row>
    <row r="27" spans="1:2" x14ac:dyDescent="0.25">
      <c r="A27" s="2" t="s">
        <v>403</v>
      </c>
      <c r="B27" s="98">
        <v>0.48810663021189338</v>
      </c>
    </row>
    <row r="28" spans="1:2" x14ac:dyDescent="0.25">
      <c r="A28" s="2" t="s">
        <v>404</v>
      </c>
      <c r="B28" s="98">
        <v>0.46198232323232319</v>
      </c>
    </row>
    <row r="29" spans="1:2" x14ac:dyDescent="0.25">
      <c r="A29" s="2" t="s">
        <v>405</v>
      </c>
      <c r="B29" s="98">
        <v>0.563425925925926</v>
      </c>
    </row>
    <row r="30" spans="1:2" x14ac:dyDescent="0.25">
      <c r="A30" s="2" t="s">
        <v>406</v>
      </c>
      <c r="B30" s="98">
        <v>0.62388888888888883</v>
      </c>
    </row>
    <row r="31" spans="1:2" x14ac:dyDescent="0.25">
      <c r="A31" s="2" t="s">
        <v>1</v>
      </c>
      <c r="B31" s="98">
        <v>0.52796767275933965</v>
      </c>
    </row>
    <row r="46" spans="1:3" x14ac:dyDescent="0.25">
      <c r="A46" s="1" t="s">
        <v>3</v>
      </c>
      <c r="B46" t="s">
        <v>416</v>
      </c>
    </row>
    <row r="48" spans="1:3" x14ac:dyDescent="0.25">
      <c r="A48" s="1" t="s">
        <v>0</v>
      </c>
      <c r="B48" t="s">
        <v>409</v>
      </c>
      <c r="C48" t="s">
        <v>410</v>
      </c>
    </row>
    <row r="49" spans="1:3" x14ac:dyDescent="0.25">
      <c r="A49" s="2" t="s">
        <v>403</v>
      </c>
      <c r="B49" s="71">
        <v>406.07954544687959</v>
      </c>
      <c r="C49" s="71">
        <v>294.76932612145208</v>
      </c>
    </row>
    <row r="50" spans="1:3" x14ac:dyDescent="0.25">
      <c r="A50" s="2" t="s">
        <v>404</v>
      </c>
      <c r="B50" s="71">
        <v>370.77785627224654</v>
      </c>
      <c r="C50" s="71">
        <v>265.07491682310422</v>
      </c>
    </row>
    <row r="51" spans="1:3" x14ac:dyDescent="0.25">
      <c r="A51" s="2" t="s">
        <v>405</v>
      </c>
      <c r="B51" s="71">
        <v>407.01898618807405</v>
      </c>
      <c r="C51" s="71">
        <v>279.56254269163838</v>
      </c>
    </row>
    <row r="52" spans="1:3" x14ac:dyDescent="0.25">
      <c r="A52" s="2" t="s">
        <v>406</v>
      </c>
      <c r="B52" s="71">
        <v>410.78133002345749</v>
      </c>
      <c r="C52" s="71">
        <v>314.67147751211337</v>
      </c>
    </row>
    <row r="53" spans="1:3" x14ac:dyDescent="0.25">
      <c r="A53" s="2" t="s">
        <v>1</v>
      </c>
      <c r="B53" s="71">
        <v>398.76516564905324</v>
      </c>
      <c r="C53" s="71">
        <v>288.60341164352064</v>
      </c>
    </row>
    <row r="72" spans="1:2" x14ac:dyDescent="0.25">
      <c r="A72" s="1" t="s">
        <v>3</v>
      </c>
      <c r="B72" t="s">
        <v>416</v>
      </c>
    </row>
    <row r="74" spans="1:2" x14ac:dyDescent="0.25">
      <c r="A74" s="1" t="s">
        <v>0</v>
      </c>
      <c r="B74" t="s">
        <v>301</v>
      </c>
    </row>
    <row r="75" spans="1:2" x14ac:dyDescent="0.25">
      <c r="A75" s="2" t="s">
        <v>403</v>
      </c>
      <c r="B75" s="71">
        <v>700.8488715683319</v>
      </c>
    </row>
    <row r="76" spans="1:2" x14ac:dyDescent="0.25">
      <c r="A76" s="2" t="s">
        <v>404</v>
      </c>
      <c r="B76" s="71">
        <v>635.85277309535081</v>
      </c>
    </row>
    <row r="77" spans="1:2" x14ac:dyDescent="0.25">
      <c r="A77" s="2" t="s">
        <v>405</v>
      </c>
      <c r="B77" s="71">
        <v>686.58152887971232</v>
      </c>
    </row>
    <row r="78" spans="1:2" x14ac:dyDescent="0.25">
      <c r="A78" s="2" t="s">
        <v>406</v>
      </c>
      <c r="B78" s="71">
        <v>725.45280753557086</v>
      </c>
    </row>
    <row r="79" spans="1:2" x14ac:dyDescent="0.25">
      <c r="A79" s="2" t="s">
        <v>1</v>
      </c>
      <c r="B79" s="71">
        <v>687.36857729257395</v>
      </c>
    </row>
    <row r="106" spans="1:3" x14ac:dyDescent="0.25">
      <c r="A106" s="1" t="s">
        <v>3</v>
      </c>
      <c r="B106" t="s">
        <v>416</v>
      </c>
    </row>
    <row r="108" spans="1:3" x14ac:dyDescent="0.25">
      <c r="A108" s="1" t="s">
        <v>0</v>
      </c>
      <c r="B108" t="s">
        <v>412</v>
      </c>
      <c r="C108" t="s">
        <v>411</v>
      </c>
    </row>
    <row r="109" spans="1:3" x14ac:dyDescent="0.25">
      <c r="A109" s="2" t="s">
        <v>403</v>
      </c>
      <c r="B109" s="98">
        <v>0.35133913190168187</v>
      </c>
      <c r="C109" s="98">
        <v>0.48757245339508265</v>
      </c>
    </row>
    <row r="110" spans="1:3" x14ac:dyDescent="0.25">
      <c r="A110" s="2" t="s">
        <v>404</v>
      </c>
      <c r="B110" s="98">
        <v>0.27003604308364199</v>
      </c>
      <c r="C110" s="98">
        <v>0.38107816232918729</v>
      </c>
    </row>
    <row r="111" spans="1:3" x14ac:dyDescent="0.25">
      <c r="A111" s="2" t="s">
        <v>405</v>
      </c>
      <c r="B111" s="98">
        <v>0.277176159233535</v>
      </c>
      <c r="C111" s="98">
        <v>0.40337097687680118</v>
      </c>
    </row>
    <row r="112" spans="1:3" x14ac:dyDescent="0.25">
      <c r="A112" s="2" t="s">
        <v>406</v>
      </c>
      <c r="B112" s="98">
        <v>0.32806478237763792</v>
      </c>
      <c r="C112" s="98">
        <v>0.43014371370171628</v>
      </c>
    </row>
    <row r="113" spans="1:3" x14ac:dyDescent="0.25">
      <c r="A113" s="2" t="s">
        <v>1</v>
      </c>
      <c r="B113" s="98">
        <v>0.30491407696712086</v>
      </c>
      <c r="C113" s="98">
        <v>0.42301221557191754</v>
      </c>
    </row>
    <row r="133" spans="1:2" x14ac:dyDescent="0.25">
      <c r="A133" s="1" t="s">
        <v>3</v>
      </c>
      <c r="B133" t="s">
        <v>416</v>
      </c>
    </row>
    <row r="135" spans="1:2" x14ac:dyDescent="0.25">
      <c r="A135" s="1" t="s">
        <v>0</v>
      </c>
      <c r="B135" t="s">
        <v>413</v>
      </c>
    </row>
    <row r="136" spans="1:2" x14ac:dyDescent="0.25">
      <c r="A136" s="2" t="s">
        <v>403</v>
      </c>
      <c r="B136" s="98">
        <v>0.83891158529676446</v>
      </c>
    </row>
    <row r="137" spans="1:2" x14ac:dyDescent="0.25">
      <c r="A137" s="2" t="s">
        <v>404</v>
      </c>
      <c r="B137" s="98">
        <v>0.65111420541282938</v>
      </c>
    </row>
    <row r="138" spans="1:2" x14ac:dyDescent="0.25">
      <c r="A138" s="2" t="s">
        <v>405</v>
      </c>
      <c r="B138" s="98">
        <v>0.68054713611033624</v>
      </c>
    </row>
    <row r="139" spans="1:2" x14ac:dyDescent="0.25">
      <c r="A139" s="2" t="s">
        <v>406</v>
      </c>
      <c r="B139" s="98">
        <v>0.75820849607935414</v>
      </c>
    </row>
    <row r="140" spans="1:2" x14ac:dyDescent="0.25">
      <c r="A140" s="2" t="s">
        <v>1</v>
      </c>
      <c r="B140" s="98">
        <v>0.72792629253903829</v>
      </c>
    </row>
    <row r="156" spans="1:2" x14ac:dyDescent="0.25">
      <c r="A156" s="1" t="s">
        <v>3</v>
      </c>
      <c r="B156" t="s">
        <v>416</v>
      </c>
    </row>
    <row r="158" spans="1:2" x14ac:dyDescent="0.25">
      <c r="A158" s="1" t="s">
        <v>0</v>
      </c>
      <c r="B158" t="s">
        <v>414</v>
      </c>
    </row>
    <row r="159" spans="1:2" x14ac:dyDescent="0.25">
      <c r="A159" s="2" t="s">
        <v>403</v>
      </c>
      <c r="B159">
        <v>64631</v>
      </c>
    </row>
    <row r="160" spans="1:2" x14ac:dyDescent="0.25">
      <c r="A160" s="2" t="s">
        <v>404</v>
      </c>
      <c r="B160">
        <v>67111</v>
      </c>
    </row>
    <row r="161" spans="1:2" x14ac:dyDescent="0.25">
      <c r="A161" s="2" t="s">
        <v>405</v>
      </c>
      <c r="B161">
        <v>83569</v>
      </c>
    </row>
    <row r="162" spans="1:2" x14ac:dyDescent="0.25">
      <c r="A162" s="2" t="s">
        <v>406</v>
      </c>
      <c r="B162">
        <v>82759</v>
      </c>
    </row>
    <row r="163" spans="1:2" x14ac:dyDescent="0.25">
      <c r="A163" s="2" t="s">
        <v>1</v>
      </c>
      <c r="B163">
        <v>298070</v>
      </c>
    </row>
    <row r="179" spans="1:3" x14ac:dyDescent="0.25">
      <c r="A179" s="1" t="s">
        <v>3</v>
      </c>
      <c r="B179" t="s">
        <v>416</v>
      </c>
    </row>
    <row r="181" spans="1:3" x14ac:dyDescent="0.25">
      <c r="A181" s="1" t="s">
        <v>0</v>
      </c>
      <c r="B181" t="s">
        <v>417</v>
      </c>
      <c r="C181" t="s">
        <v>418</v>
      </c>
    </row>
    <row r="182" spans="1:3" x14ac:dyDescent="0.25">
      <c r="A182" s="2" t="s">
        <v>403</v>
      </c>
      <c r="B182">
        <v>27203</v>
      </c>
      <c r="C182">
        <v>37428</v>
      </c>
    </row>
    <row r="183" spans="1:3" x14ac:dyDescent="0.25">
      <c r="A183" s="2" t="s">
        <v>404</v>
      </c>
      <c r="B183">
        <v>27863</v>
      </c>
      <c r="C183">
        <v>39248</v>
      </c>
    </row>
    <row r="184" spans="1:3" x14ac:dyDescent="0.25">
      <c r="A184" s="2" t="s">
        <v>405</v>
      </c>
      <c r="B184">
        <v>33950</v>
      </c>
      <c r="C184">
        <v>49619</v>
      </c>
    </row>
    <row r="185" spans="1:3" x14ac:dyDescent="0.25">
      <c r="A185" s="2" t="s">
        <v>406</v>
      </c>
      <c r="B185">
        <v>36077</v>
      </c>
      <c r="C185">
        <v>46682</v>
      </c>
    </row>
    <row r="186" spans="1:3" x14ac:dyDescent="0.25">
      <c r="A186" s="2" t="s">
        <v>1</v>
      </c>
      <c r="B186">
        <v>125093</v>
      </c>
      <c r="C186">
        <v>172977</v>
      </c>
    </row>
    <row r="211" spans="1:4" x14ac:dyDescent="0.25">
      <c r="A211" s="1" t="s">
        <v>3</v>
      </c>
      <c r="B211" t="s">
        <v>416</v>
      </c>
    </row>
    <row r="213" spans="1:4" x14ac:dyDescent="0.25">
      <c r="A213" s="1" t="s">
        <v>497</v>
      </c>
      <c r="B213" s="1" t="s">
        <v>415</v>
      </c>
    </row>
    <row r="214" spans="1:4" x14ac:dyDescent="0.25">
      <c r="A214" s="1" t="s">
        <v>0</v>
      </c>
      <c r="B214">
        <v>2</v>
      </c>
      <c r="C214">
        <v>1</v>
      </c>
      <c r="D214" t="s">
        <v>1</v>
      </c>
    </row>
    <row r="215" spans="1:4" x14ac:dyDescent="0.25">
      <c r="A215" s="2" t="s">
        <v>404</v>
      </c>
      <c r="B215" s="71">
        <v>439.39320259910727</v>
      </c>
      <c r="C215" s="71">
        <v>450.97777777777782</v>
      </c>
      <c r="D215" s="71">
        <v>442.0260605942596</v>
      </c>
    </row>
    <row r="216" spans="1:4" x14ac:dyDescent="0.25">
      <c r="A216" s="2" t="s">
        <v>405</v>
      </c>
      <c r="B216" s="71">
        <v>421.46568302912931</v>
      </c>
      <c r="C216" s="71">
        <v>478.26344827586206</v>
      </c>
      <c r="D216" s="71">
        <v>435.6651243408125</v>
      </c>
    </row>
    <row r="217" spans="1:4" x14ac:dyDescent="0.25">
      <c r="A217" s="2" t="s">
        <v>406</v>
      </c>
      <c r="B217" s="71">
        <v>441.76093536649586</v>
      </c>
      <c r="C217" s="71">
        <v>447.3478782356139</v>
      </c>
      <c r="D217" s="71">
        <v>443.23118348994802</v>
      </c>
    </row>
    <row r="218" spans="1:4" x14ac:dyDescent="0.25">
      <c r="A218" s="2" t="s">
        <v>1</v>
      </c>
      <c r="B218" s="71">
        <v>434.26788662505879</v>
      </c>
      <c r="C218" s="71">
        <v>458.86303476308473</v>
      </c>
      <c r="D218" s="71">
        <v>440.31587387211431</v>
      </c>
    </row>
  </sheetData>
  <mergeCells count="1">
    <mergeCell ref="D1:H2"/>
  </mergeCells>
  <pageMargins left="0.7" right="0.7" top="0.75" bottom="0.75" header="0.3" footer="0.3"/>
  <pageSetup scale="45" fitToHeight="0" orientation="portrait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0D87-BB3C-4C8C-B668-477D9A0C548E}">
  <dimension ref="A1:AA70"/>
  <sheetViews>
    <sheetView topLeftCell="A36" workbookViewId="0">
      <selection activeCell="E66" sqref="E66"/>
    </sheetView>
  </sheetViews>
  <sheetFormatPr defaultRowHeight="15" x14ac:dyDescent="0.25"/>
  <cols>
    <col min="1" max="1" width="9.85546875" bestFit="1" customWidth="1"/>
    <col min="2" max="2" width="9.85546875" customWidth="1"/>
  </cols>
  <sheetData>
    <row r="1" spans="1:27" ht="60" x14ac:dyDescent="0.25">
      <c r="A1" s="99" t="s">
        <v>419</v>
      </c>
      <c r="B1" s="99" t="s">
        <v>3</v>
      </c>
      <c r="C1" s="99" t="s">
        <v>4</v>
      </c>
      <c r="D1" s="99" t="s">
        <v>420</v>
      </c>
      <c r="E1" s="99" t="s">
        <v>421</v>
      </c>
      <c r="F1" s="100" t="s">
        <v>422</v>
      </c>
      <c r="G1" s="101" t="s">
        <v>6</v>
      </c>
      <c r="H1" s="102" t="s">
        <v>7</v>
      </c>
      <c r="I1" s="103" t="s">
        <v>423</v>
      </c>
      <c r="J1" s="104" t="s">
        <v>424</v>
      </c>
      <c r="K1" s="104" t="s">
        <v>425</v>
      </c>
      <c r="L1" s="105" t="s">
        <v>426</v>
      </c>
      <c r="M1" s="105" t="s">
        <v>427</v>
      </c>
      <c r="N1" s="105" t="s">
        <v>428</v>
      </c>
      <c r="O1" s="105" t="s">
        <v>429</v>
      </c>
      <c r="P1" s="105" t="s">
        <v>430</v>
      </c>
      <c r="Q1" s="106" t="s">
        <v>431</v>
      </c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spans="1:27" x14ac:dyDescent="0.25">
      <c r="A2" s="107"/>
      <c r="B2" s="107"/>
      <c r="C2" s="107"/>
      <c r="D2" s="107"/>
      <c r="E2" s="107"/>
      <c r="F2" s="108"/>
      <c r="G2" s="109"/>
      <c r="H2" s="110"/>
      <c r="I2" s="108"/>
      <c r="J2" s="109"/>
      <c r="K2" s="109"/>
      <c r="L2" s="111"/>
      <c r="M2" s="111"/>
      <c r="N2" s="111"/>
      <c r="O2" s="111"/>
      <c r="P2" s="111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x14ac:dyDescent="0.25">
      <c r="A3" s="112">
        <v>46055</v>
      </c>
      <c r="B3" s="112" t="str">
        <f>TEXT(A3,"YYYY")</f>
        <v>2026</v>
      </c>
      <c r="C3" s="112" t="str">
        <f>TEXT(A3,"MMMM")</f>
        <v>February</v>
      </c>
      <c r="D3" s="121">
        <v>2</v>
      </c>
      <c r="E3" s="112" t="s">
        <v>432</v>
      </c>
      <c r="F3" s="113">
        <v>12</v>
      </c>
      <c r="G3" s="114">
        <v>7.4</v>
      </c>
      <c r="H3" s="115">
        <v>0.62</v>
      </c>
      <c r="I3" s="116">
        <v>11</v>
      </c>
      <c r="J3" s="114">
        <v>335</v>
      </c>
      <c r="K3" s="117">
        <v>3685</v>
      </c>
      <c r="L3" s="117">
        <v>498</v>
      </c>
      <c r="M3" s="118" t="s">
        <v>433</v>
      </c>
      <c r="N3" s="118">
        <v>12</v>
      </c>
      <c r="O3" s="118"/>
      <c r="P3" s="118"/>
      <c r="Q3" s="119" t="s">
        <v>434</v>
      </c>
      <c r="R3" s="119"/>
      <c r="S3" s="119"/>
      <c r="T3" s="119"/>
      <c r="U3" s="119"/>
      <c r="V3" s="119"/>
      <c r="W3" s="119"/>
      <c r="X3" s="119"/>
      <c r="Y3" s="119"/>
      <c r="Z3" s="119"/>
      <c r="AA3" s="119"/>
    </row>
    <row r="4" spans="1:27" x14ac:dyDescent="0.25">
      <c r="A4" s="112">
        <v>46056</v>
      </c>
      <c r="B4" s="112" t="str">
        <f t="shared" ref="B4:B67" si="0">TEXT(A4,"YYYY")</f>
        <v>2026</v>
      </c>
      <c r="C4" s="112" t="str">
        <f t="shared" ref="C4:C67" si="1">TEXT(A4,"MMMM")</f>
        <v>February</v>
      </c>
      <c r="D4" s="121">
        <v>2</v>
      </c>
      <c r="E4" s="120" t="s">
        <v>432</v>
      </c>
      <c r="F4" s="113">
        <v>12</v>
      </c>
      <c r="G4" s="114">
        <v>1.5</v>
      </c>
      <c r="H4" s="115">
        <v>0.13</v>
      </c>
      <c r="I4" s="116">
        <v>11</v>
      </c>
      <c r="J4" s="114">
        <v>81</v>
      </c>
      <c r="K4" s="117">
        <v>891</v>
      </c>
      <c r="L4" s="117">
        <v>594</v>
      </c>
      <c r="M4" s="118" t="s">
        <v>433</v>
      </c>
      <c r="N4" s="118">
        <v>12</v>
      </c>
      <c r="O4" s="118"/>
      <c r="P4" s="118"/>
      <c r="Q4" s="119" t="s">
        <v>435</v>
      </c>
      <c r="R4" s="119"/>
      <c r="S4" s="119"/>
      <c r="T4" s="119"/>
      <c r="U4" s="119"/>
      <c r="V4" s="119"/>
      <c r="W4" s="119"/>
      <c r="X4" s="119"/>
      <c r="Y4" s="119"/>
      <c r="Z4" s="119"/>
      <c r="AA4" s="119"/>
    </row>
    <row r="5" spans="1:27" x14ac:dyDescent="0.25">
      <c r="A5" s="112">
        <v>46057</v>
      </c>
      <c r="B5" s="112" t="str">
        <f t="shared" si="0"/>
        <v>2026</v>
      </c>
      <c r="C5" s="112" t="str">
        <f t="shared" si="1"/>
        <v>February</v>
      </c>
      <c r="D5" s="121">
        <v>1</v>
      </c>
      <c r="E5" s="120" t="s">
        <v>432</v>
      </c>
      <c r="F5" s="113">
        <v>4</v>
      </c>
      <c r="G5" s="114">
        <v>4</v>
      </c>
      <c r="H5" s="115">
        <v>1</v>
      </c>
      <c r="I5" s="116">
        <v>11</v>
      </c>
      <c r="J5" s="114">
        <v>200</v>
      </c>
      <c r="K5" s="117">
        <v>2200</v>
      </c>
      <c r="L5" s="117">
        <v>550</v>
      </c>
      <c r="M5" s="118" t="s">
        <v>436</v>
      </c>
      <c r="N5" s="118">
        <v>12</v>
      </c>
      <c r="O5" s="118"/>
      <c r="P5" s="118"/>
      <c r="Q5" s="119" t="s">
        <v>437</v>
      </c>
      <c r="R5" s="119"/>
      <c r="S5" s="119"/>
      <c r="T5" s="119"/>
      <c r="U5" s="119"/>
      <c r="V5" s="119"/>
      <c r="W5" s="119"/>
      <c r="X5" s="119"/>
      <c r="Y5" s="119"/>
      <c r="Z5" s="119"/>
      <c r="AA5" s="119"/>
    </row>
    <row r="6" spans="1:27" x14ac:dyDescent="0.25">
      <c r="A6" s="112">
        <v>46057</v>
      </c>
      <c r="B6" s="112" t="str">
        <f t="shared" si="0"/>
        <v>2026</v>
      </c>
      <c r="C6" s="112" t="str">
        <f t="shared" si="1"/>
        <v>February</v>
      </c>
      <c r="D6" s="121">
        <v>2</v>
      </c>
      <c r="E6" s="120" t="s">
        <v>432</v>
      </c>
      <c r="F6" s="113">
        <v>12</v>
      </c>
      <c r="G6" s="114">
        <v>11</v>
      </c>
      <c r="H6" s="115">
        <v>0.92</v>
      </c>
      <c r="I6" s="116">
        <v>11</v>
      </c>
      <c r="J6" s="114">
        <v>414</v>
      </c>
      <c r="K6" s="117">
        <v>4554</v>
      </c>
      <c r="L6" s="117">
        <v>414</v>
      </c>
      <c r="M6" s="118" t="s">
        <v>433</v>
      </c>
      <c r="N6" s="118">
        <v>12</v>
      </c>
      <c r="O6" s="118"/>
      <c r="P6" s="118"/>
      <c r="Q6" s="119" t="s">
        <v>438</v>
      </c>
      <c r="R6" s="119"/>
      <c r="S6" s="119"/>
      <c r="T6" s="119"/>
      <c r="U6" s="119"/>
      <c r="V6" s="119"/>
      <c r="W6" s="119"/>
      <c r="X6" s="119"/>
      <c r="Y6" s="119"/>
      <c r="Z6" s="119"/>
      <c r="AA6" s="119"/>
    </row>
    <row r="7" spans="1:27" x14ac:dyDescent="0.25">
      <c r="A7" s="112">
        <v>46058</v>
      </c>
      <c r="B7" s="112" t="str">
        <f t="shared" si="0"/>
        <v>2026</v>
      </c>
      <c r="C7" s="112" t="str">
        <f t="shared" si="1"/>
        <v>February</v>
      </c>
      <c r="D7" s="121">
        <v>2</v>
      </c>
      <c r="E7" s="120" t="s">
        <v>432</v>
      </c>
      <c r="F7" s="113">
        <v>12</v>
      </c>
      <c r="G7" s="114">
        <v>4</v>
      </c>
      <c r="H7" s="115">
        <v>0.33</v>
      </c>
      <c r="I7" s="116">
        <v>11</v>
      </c>
      <c r="J7" s="114">
        <v>142</v>
      </c>
      <c r="K7" s="117">
        <v>1562</v>
      </c>
      <c r="L7" s="117">
        <v>391</v>
      </c>
      <c r="M7" s="118" t="s">
        <v>433</v>
      </c>
      <c r="N7" s="118">
        <v>12</v>
      </c>
      <c r="O7" s="118"/>
      <c r="P7" s="118"/>
      <c r="Q7" s="119" t="s">
        <v>439</v>
      </c>
      <c r="R7" s="119"/>
      <c r="S7" s="119"/>
      <c r="T7" s="119"/>
      <c r="U7" s="119"/>
      <c r="V7" s="119"/>
      <c r="W7" s="119"/>
      <c r="X7" s="119"/>
      <c r="Y7" s="119"/>
      <c r="Z7" s="119"/>
      <c r="AA7" s="119"/>
    </row>
    <row r="8" spans="1:27" x14ac:dyDescent="0.25">
      <c r="A8" s="112">
        <v>46059</v>
      </c>
      <c r="B8" s="112" t="str">
        <f t="shared" si="0"/>
        <v>2026</v>
      </c>
      <c r="C8" s="112" t="str">
        <f t="shared" si="1"/>
        <v>February</v>
      </c>
      <c r="D8" s="121">
        <v>2</v>
      </c>
      <c r="E8" s="97" t="s">
        <v>432</v>
      </c>
      <c r="F8" s="97">
        <v>12</v>
      </c>
      <c r="G8" s="97">
        <v>8.5</v>
      </c>
      <c r="H8" s="115">
        <v>0.71</v>
      </c>
      <c r="I8" s="116">
        <v>11</v>
      </c>
      <c r="J8" s="114">
        <v>277</v>
      </c>
      <c r="K8" s="117">
        <v>3047</v>
      </c>
      <c r="L8" s="117">
        <v>358</v>
      </c>
      <c r="M8" s="118" t="s">
        <v>433</v>
      </c>
      <c r="N8" s="118">
        <v>12</v>
      </c>
      <c r="O8" s="118"/>
      <c r="P8" s="118"/>
      <c r="Q8" s="119" t="s">
        <v>440</v>
      </c>
      <c r="R8" s="119"/>
      <c r="S8" s="119"/>
      <c r="T8" s="119"/>
      <c r="U8" s="119"/>
      <c r="V8" s="119"/>
      <c r="W8" s="119"/>
      <c r="X8" s="119"/>
      <c r="Y8" s="119"/>
      <c r="Z8" s="119"/>
      <c r="AA8" s="119"/>
    </row>
    <row r="9" spans="1:27" x14ac:dyDescent="0.25">
      <c r="A9" s="112">
        <v>46055</v>
      </c>
      <c r="B9" s="112" t="str">
        <f t="shared" si="0"/>
        <v>2026</v>
      </c>
      <c r="C9" s="112" t="str">
        <f t="shared" si="1"/>
        <v>February</v>
      </c>
      <c r="D9" s="121">
        <v>1</v>
      </c>
      <c r="E9" s="97" t="s">
        <v>432</v>
      </c>
      <c r="F9" s="97">
        <v>7</v>
      </c>
      <c r="G9" s="97">
        <v>7</v>
      </c>
      <c r="H9" s="115">
        <v>1</v>
      </c>
      <c r="I9" s="116">
        <v>11</v>
      </c>
      <c r="J9" s="114">
        <v>295</v>
      </c>
      <c r="K9" s="117">
        <v>3245</v>
      </c>
      <c r="L9" s="117">
        <v>464</v>
      </c>
      <c r="M9" s="118" t="s">
        <v>441</v>
      </c>
      <c r="N9" s="118">
        <v>12</v>
      </c>
      <c r="O9" s="118"/>
      <c r="P9" s="118"/>
      <c r="Q9" s="119" t="s">
        <v>442</v>
      </c>
      <c r="R9" s="119"/>
      <c r="S9" s="119"/>
      <c r="T9" s="119"/>
      <c r="U9" s="119"/>
      <c r="V9" s="119"/>
      <c r="W9" s="119"/>
      <c r="X9" s="119"/>
      <c r="Y9" s="119"/>
      <c r="Z9" s="119"/>
      <c r="AA9" s="119"/>
    </row>
    <row r="10" spans="1:27" x14ac:dyDescent="0.25">
      <c r="A10" s="112">
        <v>46055</v>
      </c>
      <c r="B10" s="112" t="str">
        <f t="shared" si="0"/>
        <v>2026</v>
      </c>
      <c r="C10" s="112" t="str">
        <f t="shared" si="1"/>
        <v>February</v>
      </c>
      <c r="D10" s="121">
        <v>2</v>
      </c>
      <c r="E10" s="97" t="s">
        <v>432</v>
      </c>
      <c r="F10" s="97">
        <v>12</v>
      </c>
      <c r="G10" s="97">
        <v>6.5</v>
      </c>
      <c r="H10" s="115">
        <v>0.54</v>
      </c>
      <c r="I10" s="116">
        <v>11</v>
      </c>
      <c r="J10" s="114">
        <v>187</v>
      </c>
      <c r="K10" s="117">
        <v>2057</v>
      </c>
      <c r="L10" s="117">
        <v>316</v>
      </c>
      <c r="M10" s="118" t="s">
        <v>433</v>
      </c>
      <c r="N10" s="118">
        <v>12</v>
      </c>
      <c r="O10" s="118"/>
      <c r="P10" s="118"/>
      <c r="Q10" s="119" t="s">
        <v>443</v>
      </c>
      <c r="R10" s="119"/>
      <c r="S10" s="119"/>
      <c r="T10" s="119"/>
      <c r="U10" s="119"/>
      <c r="V10" s="119"/>
      <c r="W10" s="119"/>
      <c r="X10" s="119"/>
      <c r="Y10" s="119"/>
      <c r="Z10" s="119"/>
      <c r="AA10" s="119"/>
    </row>
    <row r="11" spans="1:27" x14ac:dyDescent="0.25">
      <c r="A11" s="112">
        <v>46066</v>
      </c>
      <c r="B11" s="112" t="str">
        <f t="shared" si="0"/>
        <v>2026</v>
      </c>
      <c r="C11" s="112" t="str">
        <f t="shared" si="1"/>
        <v>February</v>
      </c>
      <c r="D11" s="121">
        <v>2</v>
      </c>
      <c r="E11" s="97" t="s">
        <v>432</v>
      </c>
      <c r="F11" s="97">
        <v>12</v>
      </c>
      <c r="G11" s="97">
        <v>5.8</v>
      </c>
      <c r="H11" s="115">
        <v>0.48</v>
      </c>
      <c r="I11" s="116">
        <v>11</v>
      </c>
      <c r="J11" s="114">
        <v>221</v>
      </c>
      <c r="K11" s="117">
        <v>2431</v>
      </c>
      <c r="L11" s="117">
        <v>419</v>
      </c>
      <c r="M11" s="118" t="s">
        <v>433</v>
      </c>
      <c r="N11" s="118">
        <v>12</v>
      </c>
      <c r="O11" s="118"/>
      <c r="P11" s="118"/>
      <c r="Q11" s="119" t="s">
        <v>444</v>
      </c>
      <c r="R11" s="119"/>
      <c r="S11" s="119"/>
      <c r="T11" s="119"/>
      <c r="U11" s="119"/>
      <c r="V11" s="119"/>
      <c r="W11" s="119"/>
      <c r="X11" s="119"/>
      <c r="Y11" s="119"/>
      <c r="Z11" s="119"/>
      <c r="AA11" s="119"/>
    </row>
    <row r="12" spans="1:27" x14ac:dyDescent="0.25">
      <c r="A12" s="112">
        <v>46069</v>
      </c>
      <c r="B12" s="112" t="str">
        <f t="shared" si="0"/>
        <v>2026</v>
      </c>
      <c r="C12" s="112" t="str">
        <f t="shared" si="1"/>
        <v>February</v>
      </c>
      <c r="D12" s="121">
        <v>1</v>
      </c>
      <c r="E12" s="97" t="s">
        <v>432</v>
      </c>
      <c r="F12" s="97">
        <v>2.5</v>
      </c>
      <c r="G12" s="97">
        <v>2.2999999999999998</v>
      </c>
      <c r="H12" s="115">
        <v>0.92</v>
      </c>
      <c r="I12" s="116">
        <v>11</v>
      </c>
      <c r="J12" s="114">
        <v>86</v>
      </c>
      <c r="K12" s="117">
        <v>946</v>
      </c>
      <c r="L12" s="117">
        <v>411</v>
      </c>
      <c r="M12" s="118" t="s">
        <v>441</v>
      </c>
      <c r="N12" s="118">
        <v>12</v>
      </c>
      <c r="O12" s="118"/>
      <c r="P12" s="118"/>
      <c r="Q12" s="119" t="s">
        <v>445</v>
      </c>
      <c r="R12" s="119"/>
      <c r="S12" s="119"/>
      <c r="T12" s="119"/>
      <c r="U12" s="119"/>
      <c r="V12" s="119"/>
      <c r="W12" s="119"/>
      <c r="X12" s="119"/>
      <c r="Y12" s="119"/>
      <c r="Z12" s="119"/>
      <c r="AA12" s="119"/>
    </row>
    <row r="13" spans="1:27" x14ac:dyDescent="0.25">
      <c r="A13" s="112">
        <v>46069</v>
      </c>
      <c r="B13" s="112" t="str">
        <f t="shared" si="0"/>
        <v>2026</v>
      </c>
      <c r="C13" s="112" t="str">
        <f t="shared" si="1"/>
        <v>February</v>
      </c>
      <c r="D13" s="121">
        <v>2</v>
      </c>
      <c r="E13" s="97" t="s">
        <v>432</v>
      </c>
      <c r="F13" s="97">
        <v>12</v>
      </c>
      <c r="G13" s="97">
        <v>10.6</v>
      </c>
      <c r="H13" s="115">
        <v>0.88</v>
      </c>
      <c r="I13" s="116">
        <v>11</v>
      </c>
      <c r="J13" s="114">
        <v>375</v>
      </c>
      <c r="K13" s="117">
        <v>4125</v>
      </c>
      <c r="L13" s="117">
        <v>389</v>
      </c>
      <c r="M13" s="118" t="s">
        <v>433</v>
      </c>
      <c r="N13" s="118">
        <v>12</v>
      </c>
      <c r="O13" s="118"/>
      <c r="P13" s="118"/>
      <c r="Q13" s="119" t="s">
        <v>446</v>
      </c>
      <c r="R13" s="119"/>
      <c r="S13" s="119"/>
      <c r="T13" s="119"/>
      <c r="U13" s="119"/>
      <c r="V13" s="119"/>
      <c r="W13" s="119"/>
      <c r="X13" s="119"/>
      <c r="Y13" s="119"/>
      <c r="Z13" s="119"/>
      <c r="AA13" s="119"/>
    </row>
    <row r="14" spans="1:27" x14ac:dyDescent="0.25">
      <c r="A14" s="112">
        <v>46070</v>
      </c>
      <c r="B14" s="112" t="str">
        <f t="shared" si="0"/>
        <v>2026</v>
      </c>
      <c r="C14" s="112" t="str">
        <f t="shared" si="1"/>
        <v>February</v>
      </c>
      <c r="D14" s="121">
        <v>1</v>
      </c>
      <c r="E14" s="97" t="s">
        <v>432</v>
      </c>
      <c r="F14" s="97">
        <v>1.8</v>
      </c>
      <c r="G14" s="97">
        <v>1.8</v>
      </c>
      <c r="H14" s="115">
        <f t="shared" ref="H14:H70" si="2">IF(F14="","",G14/F14)</f>
        <v>1</v>
      </c>
      <c r="I14" s="116">
        <v>11</v>
      </c>
      <c r="J14" s="114">
        <v>77</v>
      </c>
      <c r="K14" s="117">
        <f t="shared" ref="K14:K69" si="3">IF(J14="","",I14*J14)</f>
        <v>847</v>
      </c>
      <c r="L14" s="117">
        <f t="shared" ref="L14:L70" si="4">IF(G14=0,"",K14/G14)</f>
        <v>470.55555555555554</v>
      </c>
      <c r="M14" s="118" t="s">
        <v>441</v>
      </c>
      <c r="N14" s="118">
        <v>12</v>
      </c>
      <c r="O14" s="118"/>
      <c r="P14" s="118"/>
      <c r="Q14" s="106" t="s">
        <v>447</v>
      </c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spans="1:27" x14ac:dyDescent="0.25">
      <c r="A15" s="112">
        <v>46070</v>
      </c>
      <c r="B15" s="112" t="str">
        <f t="shared" si="0"/>
        <v>2026</v>
      </c>
      <c r="C15" s="112" t="str">
        <f t="shared" si="1"/>
        <v>February</v>
      </c>
      <c r="D15" s="121">
        <v>2</v>
      </c>
      <c r="E15" s="97" t="s">
        <v>432</v>
      </c>
      <c r="F15" s="97">
        <v>12</v>
      </c>
      <c r="G15" s="97">
        <v>10.5</v>
      </c>
      <c r="H15" s="115">
        <f t="shared" si="2"/>
        <v>0.875</v>
      </c>
      <c r="I15" s="116">
        <v>11</v>
      </c>
      <c r="J15" s="114">
        <v>413</v>
      </c>
      <c r="K15" s="117">
        <f t="shared" si="3"/>
        <v>4543</v>
      </c>
      <c r="L15" s="117">
        <f t="shared" si="4"/>
        <v>432.66666666666669</v>
      </c>
      <c r="M15" s="118" t="s">
        <v>433</v>
      </c>
      <c r="N15" s="118">
        <v>12</v>
      </c>
      <c r="O15" s="118"/>
      <c r="P15" s="118"/>
      <c r="Q15" s="106" t="s">
        <v>448</v>
      </c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spans="1:27" x14ac:dyDescent="0.25">
      <c r="A16" s="112">
        <v>46071</v>
      </c>
      <c r="B16" s="112" t="str">
        <f t="shared" si="0"/>
        <v>2026</v>
      </c>
      <c r="C16" s="112" t="str">
        <f t="shared" si="1"/>
        <v>February</v>
      </c>
      <c r="D16" s="121">
        <v>2</v>
      </c>
      <c r="E16" s="97" t="s">
        <v>432</v>
      </c>
      <c r="F16" s="97">
        <v>12</v>
      </c>
      <c r="G16" s="97">
        <v>4.5</v>
      </c>
      <c r="H16" s="115">
        <f t="shared" si="2"/>
        <v>0.375</v>
      </c>
      <c r="I16" s="116">
        <v>11</v>
      </c>
      <c r="J16" s="114">
        <v>183</v>
      </c>
      <c r="K16" s="117">
        <f t="shared" si="3"/>
        <v>2013</v>
      </c>
      <c r="L16" s="117">
        <f t="shared" si="4"/>
        <v>447.33333333333331</v>
      </c>
      <c r="M16" s="118" t="s">
        <v>433</v>
      </c>
      <c r="N16" s="118">
        <v>12</v>
      </c>
      <c r="O16" s="118"/>
      <c r="P16" s="118"/>
      <c r="Q16" s="106" t="s">
        <v>449</v>
      </c>
      <c r="R16" s="106"/>
      <c r="S16" s="106"/>
      <c r="T16" s="106"/>
      <c r="U16" s="106"/>
      <c r="V16" s="106"/>
      <c r="W16" s="106"/>
      <c r="X16" s="106"/>
      <c r="Y16" s="106"/>
      <c r="Z16" s="106"/>
      <c r="AA16" s="106"/>
    </row>
    <row r="17" spans="1:27" x14ac:dyDescent="0.25">
      <c r="A17" s="112">
        <v>46072</v>
      </c>
      <c r="B17" s="112" t="str">
        <f t="shared" si="0"/>
        <v>2026</v>
      </c>
      <c r="C17" s="112" t="str">
        <f t="shared" si="1"/>
        <v>February</v>
      </c>
      <c r="D17" s="121">
        <v>2</v>
      </c>
      <c r="E17" s="97" t="s">
        <v>432</v>
      </c>
      <c r="F17" s="97">
        <v>12</v>
      </c>
      <c r="G17" s="97">
        <v>10.199999999999999</v>
      </c>
      <c r="H17" s="115">
        <f t="shared" si="2"/>
        <v>0.85</v>
      </c>
      <c r="I17" s="116">
        <v>11</v>
      </c>
      <c r="J17" s="114">
        <v>396</v>
      </c>
      <c r="K17" s="117">
        <f t="shared" si="3"/>
        <v>4356</v>
      </c>
      <c r="L17" s="117">
        <f t="shared" si="4"/>
        <v>427.05882352941177</v>
      </c>
      <c r="M17" s="118" t="s">
        <v>433</v>
      </c>
      <c r="N17" s="118">
        <v>12</v>
      </c>
      <c r="O17" s="118"/>
      <c r="P17" s="118"/>
      <c r="Q17" s="106" t="s">
        <v>450</v>
      </c>
      <c r="R17" s="106"/>
      <c r="S17" s="106"/>
      <c r="T17" s="106"/>
      <c r="U17" s="106"/>
      <c r="V17" s="106"/>
      <c r="W17" s="106"/>
      <c r="X17" s="106"/>
      <c r="Y17" s="106"/>
      <c r="Z17" s="106"/>
      <c r="AA17" s="106"/>
    </row>
    <row r="18" spans="1:27" x14ac:dyDescent="0.25">
      <c r="A18" s="112">
        <v>46073</v>
      </c>
      <c r="B18" s="112" t="str">
        <f t="shared" si="0"/>
        <v>2026</v>
      </c>
      <c r="C18" s="112" t="str">
        <f t="shared" si="1"/>
        <v>February</v>
      </c>
      <c r="D18" s="121">
        <v>2</v>
      </c>
      <c r="E18" s="97" t="s">
        <v>432</v>
      </c>
      <c r="F18" s="97">
        <v>12</v>
      </c>
      <c r="G18" s="97">
        <v>11</v>
      </c>
      <c r="H18" s="115">
        <f t="shared" si="2"/>
        <v>0.91666666666666663</v>
      </c>
      <c r="I18" s="116">
        <v>11</v>
      </c>
      <c r="J18" s="114"/>
      <c r="K18" s="117">
        <v>5113</v>
      </c>
      <c r="L18" s="117">
        <f t="shared" si="4"/>
        <v>464.81818181818181</v>
      </c>
      <c r="M18" s="118" t="s">
        <v>451</v>
      </c>
      <c r="N18" s="118">
        <v>12</v>
      </c>
      <c r="O18" s="118"/>
      <c r="P18" s="118"/>
      <c r="Q18" s="106" t="s">
        <v>452</v>
      </c>
      <c r="R18" s="106"/>
      <c r="S18" s="106"/>
      <c r="T18" s="106"/>
      <c r="U18" s="106"/>
      <c r="V18" s="106"/>
      <c r="W18" s="106"/>
      <c r="X18" s="106"/>
      <c r="Y18" s="106"/>
      <c r="Z18" s="106"/>
      <c r="AA18" s="106"/>
    </row>
    <row r="19" spans="1:27" x14ac:dyDescent="0.25">
      <c r="A19" s="112">
        <v>46076</v>
      </c>
      <c r="B19" s="112" t="str">
        <f t="shared" si="0"/>
        <v>2026</v>
      </c>
      <c r="C19" s="112" t="str">
        <f t="shared" si="1"/>
        <v>February</v>
      </c>
      <c r="D19" s="121">
        <v>1</v>
      </c>
      <c r="E19" s="97" t="s">
        <v>432</v>
      </c>
      <c r="F19" s="97">
        <v>8</v>
      </c>
      <c r="G19" s="97">
        <v>7.5</v>
      </c>
      <c r="H19" s="115">
        <f t="shared" si="2"/>
        <v>0.9375</v>
      </c>
      <c r="I19" s="116">
        <v>11</v>
      </c>
      <c r="J19" s="114">
        <v>245</v>
      </c>
      <c r="K19" s="117">
        <f t="shared" si="3"/>
        <v>2695</v>
      </c>
      <c r="L19" s="117">
        <f t="shared" si="4"/>
        <v>359.33333333333331</v>
      </c>
      <c r="M19" s="118" t="s">
        <v>453</v>
      </c>
      <c r="N19" s="118">
        <v>12</v>
      </c>
      <c r="O19" s="118"/>
      <c r="P19" s="118"/>
      <c r="Q19" s="106" t="s">
        <v>454</v>
      </c>
      <c r="R19" s="106"/>
      <c r="S19" s="106"/>
      <c r="T19" s="106"/>
      <c r="U19" s="106"/>
      <c r="V19" s="106"/>
      <c r="W19" s="106"/>
      <c r="X19" s="106"/>
      <c r="Y19" s="106"/>
      <c r="Z19" s="106"/>
      <c r="AA19" s="106"/>
    </row>
    <row r="20" spans="1:27" x14ac:dyDescent="0.25">
      <c r="A20" s="112">
        <v>46076</v>
      </c>
      <c r="B20" s="112" t="str">
        <f t="shared" si="0"/>
        <v>2026</v>
      </c>
      <c r="C20" s="112" t="str">
        <f t="shared" si="1"/>
        <v>February</v>
      </c>
      <c r="D20" s="121">
        <v>2</v>
      </c>
      <c r="E20" s="97" t="s">
        <v>432</v>
      </c>
      <c r="F20" s="97">
        <v>12</v>
      </c>
      <c r="G20" s="97">
        <v>10.6</v>
      </c>
      <c r="H20" s="115">
        <f t="shared" si="2"/>
        <v>0.8833333333333333</v>
      </c>
      <c r="I20" s="116">
        <v>12</v>
      </c>
      <c r="J20" s="114">
        <v>412</v>
      </c>
      <c r="K20" s="117">
        <f t="shared" si="3"/>
        <v>4944</v>
      </c>
      <c r="L20" s="117">
        <f t="shared" si="4"/>
        <v>466.41509433962267</v>
      </c>
      <c r="M20" s="118" t="s">
        <v>433</v>
      </c>
      <c r="N20" s="118">
        <v>12</v>
      </c>
      <c r="O20" s="118"/>
      <c r="P20" s="118"/>
      <c r="Q20" s="106" t="s">
        <v>455</v>
      </c>
      <c r="R20" s="106"/>
      <c r="S20" s="106"/>
      <c r="T20" s="106"/>
      <c r="U20" s="106"/>
      <c r="V20" s="106"/>
      <c r="W20" s="106"/>
      <c r="X20" s="106"/>
      <c r="Y20" s="106"/>
      <c r="Z20" s="106"/>
      <c r="AA20" s="106"/>
    </row>
    <row r="21" spans="1:27" x14ac:dyDescent="0.25">
      <c r="A21" s="112">
        <v>46077</v>
      </c>
      <c r="B21" s="112" t="str">
        <f t="shared" si="0"/>
        <v>2026</v>
      </c>
      <c r="C21" s="112" t="str">
        <f t="shared" si="1"/>
        <v>February</v>
      </c>
      <c r="D21" s="121">
        <v>2</v>
      </c>
      <c r="E21" s="97" t="s">
        <v>432</v>
      </c>
      <c r="F21" s="97">
        <v>12</v>
      </c>
      <c r="G21" s="97">
        <v>11</v>
      </c>
      <c r="H21" s="115">
        <f t="shared" si="2"/>
        <v>0.91666666666666663</v>
      </c>
      <c r="I21" s="116">
        <v>12</v>
      </c>
      <c r="J21" s="114">
        <v>409</v>
      </c>
      <c r="K21" s="117">
        <f t="shared" si="3"/>
        <v>4908</v>
      </c>
      <c r="L21" s="117">
        <f t="shared" si="4"/>
        <v>446.18181818181819</v>
      </c>
      <c r="M21" s="118" t="s">
        <v>433</v>
      </c>
      <c r="N21" s="118">
        <v>12</v>
      </c>
      <c r="O21" s="118"/>
      <c r="P21" s="118"/>
      <c r="Q21" s="106" t="s">
        <v>456</v>
      </c>
      <c r="R21" s="106"/>
      <c r="S21" s="106"/>
      <c r="T21" s="106"/>
      <c r="U21" s="106"/>
      <c r="V21" s="106"/>
      <c r="W21" s="106"/>
      <c r="X21" s="106"/>
      <c r="Y21" s="106"/>
      <c r="Z21" s="106"/>
      <c r="AA21" s="106"/>
    </row>
    <row r="22" spans="1:27" x14ac:dyDescent="0.25">
      <c r="A22" s="112">
        <v>46078</v>
      </c>
      <c r="B22" s="112" t="str">
        <f t="shared" si="0"/>
        <v>2026</v>
      </c>
      <c r="C22" s="112" t="str">
        <f t="shared" si="1"/>
        <v>February</v>
      </c>
      <c r="D22" s="121">
        <v>2</v>
      </c>
      <c r="E22" s="97" t="s">
        <v>432</v>
      </c>
      <c r="F22" s="97">
        <v>12</v>
      </c>
      <c r="G22" s="97">
        <v>9.5</v>
      </c>
      <c r="H22" s="115">
        <f t="shared" si="2"/>
        <v>0.79166666666666663</v>
      </c>
      <c r="I22" s="116">
        <v>12</v>
      </c>
      <c r="J22" s="114"/>
      <c r="K22" s="117">
        <v>4087</v>
      </c>
      <c r="L22" s="117">
        <f t="shared" si="4"/>
        <v>430.21052631578948</v>
      </c>
      <c r="M22" s="118" t="s">
        <v>451</v>
      </c>
      <c r="N22" s="118">
        <v>12</v>
      </c>
      <c r="O22" s="118"/>
      <c r="P22" s="118"/>
      <c r="Q22" s="106" t="s">
        <v>457</v>
      </c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spans="1:27" x14ac:dyDescent="0.25">
      <c r="A23" s="112">
        <v>46079</v>
      </c>
      <c r="B23" s="112" t="str">
        <f t="shared" si="0"/>
        <v>2026</v>
      </c>
      <c r="C23" s="112" t="str">
        <f t="shared" si="1"/>
        <v>February</v>
      </c>
      <c r="D23" s="121">
        <v>2</v>
      </c>
      <c r="E23" s="97" t="s">
        <v>432</v>
      </c>
      <c r="F23" s="97">
        <v>12</v>
      </c>
      <c r="G23" s="97">
        <v>10.7</v>
      </c>
      <c r="H23" s="115">
        <f t="shared" si="2"/>
        <v>0.89166666666666661</v>
      </c>
      <c r="I23" s="116">
        <v>12</v>
      </c>
      <c r="J23" s="114"/>
      <c r="K23" s="117">
        <v>4280</v>
      </c>
      <c r="L23" s="117">
        <f t="shared" si="4"/>
        <v>400</v>
      </c>
      <c r="M23" s="118" t="s">
        <v>451</v>
      </c>
      <c r="N23" s="118">
        <v>12</v>
      </c>
      <c r="O23" s="118"/>
      <c r="P23" s="118"/>
      <c r="Q23" s="106" t="s">
        <v>458</v>
      </c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spans="1:27" x14ac:dyDescent="0.25">
      <c r="A24" s="112">
        <v>46080</v>
      </c>
      <c r="B24" s="112" t="str">
        <f t="shared" si="0"/>
        <v>2026</v>
      </c>
      <c r="C24" s="112" t="str">
        <f t="shared" si="1"/>
        <v>February</v>
      </c>
      <c r="D24" s="121">
        <v>2</v>
      </c>
      <c r="E24" s="97" t="s">
        <v>432</v>
      </c>
      <c r="F24" s="97">
        <v>12</v>
      </c>
      <c r="G24" s="97">
        <v>2</v>
      </c>
      <c r="H24" s="115">
        <f t="shared" si="2"/>
        <v>0.16666666666666666</v>
      </c>
      <c r="I24" s="116">
        <v>12</v>
      </c>
      <c r="J24" s="114">
        <v>96</v>
      </c>
      <c r="K24" s="117">
        <f t="shared" si="3"/>
        <v>1152</v>
      </c>
      <c r="L24" s="117">
        <f t="shared" si="4"/>
        <v>576</v>
      </c>
      <c r="M24" s="118" t="s">
        <v>459</v>
      </c>
      <c r="N24" s="118">
        <v>7.5</v>
      </c>
      <c r="O24" s="118"/>
      <c r="P24" s="118"/>
      <c r="Q24" s="106" t="s">
        <v>460</v>
      </c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spans="1:27" x14ac:dyDescent="0.25">
      <c r="A25" s="112">
        <v>46083</v>
      </c>
      <c r="B25" s="112" t="str">
        <f t="shared" si="0"/>
        <v>2026</v>
      </c>
      <c r="C25" s="112" t="str">
        <f t="shared" si="1"/>
        <v>March</v>
      </c>
      <c r="D25" s="121">
        <v>2</v>
      </c>
      <c r="E25" s="97" t="s">
        <v>432</v>
      </c>
      <c r="F25" s="97">
        <v>12</v>
      </c>
      <c r="G25" s="97">
        <v>10</v>
      </c>
      <c r="H25" s="115">
        <f t="shared" si="2"/>
        <v>0.83333333333333337</v>
      </c>
      <c r="I25" s="116">
        <v>12</v>
      </c>
      <c r="J25" s="114">
        <v>386</v>
      </c>
      <c r="K25" s="117">
        <f t="shared" si="3"/>
        <v>4632</v>
      </c>
      <c r="L25" s="117">
        <f t="shared" si="4"/>
        <v>463.2</v>
      </c>
      <c r="M25" s="118" t="s">
        <v>433</v>
      </c>
      <c r="N25" s="118">
        <v>12</v>
      </c>
      <c r="O25" s="118"/>
      <c r="P25" s="118"/>
      <c r="Q25" s="106" t="s">
        <v>461</v>
      </c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spans="1:27" x14ac:dyDescent="0.25">
      <c r="A26" s="112">
        <v>46084</v>
      </c>
      <c r="B26" s="112" t="str">
        <f t="shared" si="0"/>
        <v>2026</v>
      </c>
      <c r="C26" s="112" t="str">
        <f t="shared" si="1"/>
        <v>March</v>
      </c>
      <c r="D26" s="121">
        <v>2</v>
      </c>
      <c r="E26" s="97" t="s">
        <v>432</v>
      </c>
      <c r="F26" s="97">
        <v>12</v>
      </c>
      <c r="G26" s="97">
        <v>5.5</v>
      </c>
      <c r="H26" s="115">
        <f t="shared" si="2"/>
        <v>0.45833333333333331</v>
      </c>
      <c r="I26" s="116">
        <v>12</v>
      </c>
      <c r="J26" s="114">
        <v>265</v>
      </c>
      <c r="K26" s="117">
        <f t="shared" si="3"/>
        <v>3180</v>
      </c>
      <c r="L26" s="117">
        <f t="shared" si="4"/>
        <v>578.18181818181813</v>
      </c>
      <c r="M26" s="118" t="s">
        <v>459</v>
      </c>
      <c r="N26" s="118">
        <v>12</v>
      </c>
      <c r="O26" s="118"/>
      <c r="P26" s="118"/>
      <c r="Q26" s="106" t="s">
        <v>462</v>
      </c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spans="1:27" x14ac:dyDescent="0.25">
      <c r="A27" s="112">
        <v>46085</v>
      </c>
      <c r="B27" s="112" t="str">
        <f t="shared" si="0"/>
        <v>2026</v>
      </c>
      <c r="C27" s="112" t="str">
        <f t="shared" si="1"/>
        <v>March</v>
      </c>
      <c r="D27" s="121">
        <v>2</v>
      </c>
      <c r="E27" s="97" t="s">
        <v>432</v>
      </c>
      <c r="F27" s="97">
        <v>12</v>
      </c>
      <c r="G27" s="97">
        <v>9</v>
      </c>
      <c r="H27" s="115">
        <f t="shared" si="2"/>
        <v>0.75</v>
      </c>
      <c r="I27" s="116">
        <v>12</v>
      </c>
      <c r="J27" s="114">
        <v>391</v>
      </c>
      <c r="K27" s="117">
        <f t="shared" si="3"/>
        <v>4692</v>
      </c>
      <c r="L27" s="117">
        <f t="shared" si="4"/>
        <v>521.33333333333337</v>
      </c>
      <c r="M27" s="118" t="s">
        <v>433</v>
      </c>
      <c r="N27" s="118">
        <v>12</v>
      </c>
      <c r="O27" s="118"/>
      <c r="P27" s="118"/>
      <c r="Q27" s="106" t="s">
        <v>463</v>
      </c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spans="1:27" x14ac:dyDescent="0.25">
      <c r="A28" s="112">
        <v>46086</v>
      </c>
      <c r="B28" s="112" t="str">
        <f t="shared" si="0"/>
        <v>2026</v>
      </c>
      <c r="C28" s="112" t="str">
        <f t="shared" si="1"/>
        <v>March</v>
      </c>
      <c r="D28" s="121">
        <v>2</v>
      </c>
      <c r="E28" s="97" t="s">
        <v>432</v>
      </c>
      <c r="F28" s="97">
        <v>12</v>
      </c>
      <c r="G28" s="97">
        <v>10.8</v>
      </c>
      <c r="H28" s="115">
        <f t="shared" si="2"/>
        <v>0.9</v>
      </c>
      <c r="I28" s="116">
        <v>12</v>
      </c>
      <c r="J28" s="114">
        <v>463</v>
      </c>
      <c r="K28" s="117">
        <v>4915</v>
      </c>
      <c r="L28" s="117">
        <f t="shared" si="4"/>
        <v>455.09259259259255</v>
      </c>
      <c r="M28" s="118" t="s">
        <v>459</v>
      </c>
      <c r="N28" s="118">
        <v>12</v>
      </c>
      <c r="O28" s="118"/>
      <c r="P28" s="118"/>
      <c r="Q28" s="106" t="s">
        <v>464</v>
      </c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spans="1:27" x14ac:dyDescent="0.25">
      <c r="A29" s="112">
        <v>46087</v>
      </c>
      <c r="B29" s="112" t="str">
        <f t="shared" si="0"/>
        <v>2026</v>
      </c>
      <c r="C29" s="112" t="str">
        <f t="shared" si="1"/>
        <v>March</v>
      </c>
      <c r="D29" s="121">
        <v>1</v>
      </c>
      <c r="E29" s="97" t="s">
        <v>432</v>
      </c>
      <c r="F29" s="97">
        <v>12</v>
      </c>
      <c r="G29" s="97">
        <v>10</v>
      </c>
      <c r="H29" s="115">
        <f t="shared" si="2"/>
        <v>0.83333333333333337</v>
      </c>
      <c r="I29" s="116">
        <v>12</v>
      </c>
      <c r="J29" s="114">
        <v>359</v>
      </c>
      <c r="K29" s="117">
        <f t="shared" si="3"/>
        <v>4308</v>
      </c>
      <c r="L29" s="117">
        <f t="shared" si="4"/>
        <v>430.8</v>
      </c>
      <c r="M29" s="118" t="s">
        <v>441</v>
      </c>
      <c r="N29" s="118">
        <v>12</v>
      </c>
      <c r="O29" s="118"/>
      <c r="P29" s="118"/>
      <c r="Q29" s="106" t="s">
        <v>465</v>
      </c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spans="1:27" x14ac:dyDescent="0.25">
      <c r="A30" s="112">
        <v>46087</v>
      </c>
      <c r="B30" s="112" t="str">
        <f t="shared" si="0"/>
        <v>2026</v>
      </c>
      <c r="C30" s="112" t="str">
        <f t="shared" si="1"/>
        <v>March</v>
      </c>
      <c r="D30" s="121">
        <v>2</v>
      </c>
      <c r="E30" s="97" t="s">
        <v>432</v>
      </c>
      <c r="F30" s="97">
        <v>12</v>
      </c>
      <c r="G30" s="97">
        <v>6.5</v>
      </c>
      <c r="H30" s="115">
        <f t="shared" si="2"/>
        <v>0.54166666666666663</v>
      </c>
      <c r="I30" s="116">
        <v>12</v>
      </c>
      <c r="J30" s="114"/>
      <c r="K30" s="117">
        <v>2136</v>
      </c>
      <c r="L30" s="117">
        <f t="shared" si="4"/>
        <v>328.61538461538464</v>
      </c>
      <c r="M30" s="118" t="s">
        <v>466</v>
      </c>
      <c r="N30" s="118">
        <v>12</v>
      </c>
      <c r="O30" s="118"/>
      <c r="P30" s="118"/>
      <c r="Q30" s="106" t="s">
        <v>467</v>
      </c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spans="1:27" x14ac:dyDescent="0.25">
      <c r="A31" s="112">
        <v>46091</v>
      </c>
      <c r="B31" s="112" t="str">
        <f t="shared" si="0"/>
        <v>2026</v>
      </c>
      <c r="C31" s="112" t="str">
        <f t="shared" si="1"/>
        <v>March</v>
      </c>
      <c r="D31" s="121">
        <v>2</v>
      </c>
      <c r="H31" s="115" t="str">
        <f t="shared" si="2"/>
        <v/>
      </c>
      <c r="I31" s="116">
        <v>12</v>
      </c>
      <c r="J31" s="114"/>
      <c r="K31" s="117" t="str">
        <f t="shared" si="3"/>
        <v/>
      </c>
      <c r="L31" s="117" t="str">
        <f t="shared" si="4"/>
        <v/>
      </c>
      <c r="M31" s="118"/>
      <c r="N31" s="118"/>
      <c r="O31" s="118"/>
      <c r="P31" s="118"/>
      <c r="Q31" s="106" t="s">
        <v>468</v>
      </c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spans="1:27" x14ac:dyDescent="0.25">
      <c r="A32" s="112">
        <v>46092</v>
      </c>
      <c r="B32" s="112" t="str">
        <f t="shared" si="0"/>
        <v>2026</v>
      </c>
      <c r="C32" s="112" t="str">
        <f t="shared" si="1"/>
        <v>March</v>
      </c>
      <c r="D32" s="121">
        <v>2</v>
      </c>
      <c r="E32" s="97" t="s">
        <v>432</v>
      </c>
      <c r="F32" s="97">
        <v>12</v>
      </c>
      <c r="G32" s="97">
        <v>10.8</v>
      </c>
      <c r="H32" s="115">
        <f t="shared" si="2"/>
        <v>0.9</v>
      </c>
      <c r="I32" s="116">
        <v>12</v>
      </c>
      <c r="J32" s="114">
        <v>375</v>
      </c>
      <c r="K32" s="117">
        <f t="shared" si="3"/>
        <v>4500</v>
      </c>
      <c r="L32" s="117">
        <f t="shared" si="4"/>
        <v>416.66666666666663</v>
      </c>
      <c r="M32" s="118" t="s">
        <v>451</v>
      </c>
      <c r="N32" s="118">
        <v>12</v>
      </c>
      <c r="O32" s="118"/>
      <c r="P32" s="118"/>
      <c r="Q32" s="106" t="s">
        <v>469</v>
      </c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spans="1:27" x14ac:dyDescent="0.25">
      <c r="A33" s="112">
        <v>46093</v>
      </c>
      <c r="B33" s="112" t="str">
        <f t="shared" si="0"/>
        <v>2026</v>
      </c>
      <c r="C33" s="112" t="str">
        <f t="shared" si="1"/>
        <v>March</v>
      </c>
      <c r="D33" s="121">
        <v>1</v>
      </c>
      <c r="E33" s="97" t="s">
        <v>432</v>
      </c>
      <c r="F33" s="97">
        <v>12</v>
      </c>
      <c r="G33" s="97">
        <v>8.6999999999999993</v>
      </c>
      <c r="H33" s="115">
        <f t="shared" si="2"/>
        <v>0.72499999999999998</v>
      </c>
      <c r="I33" s="116">
        <v>12</v>
      </c>
      <c r="J33" s="114">
        <v>323</v>
      </c>
      <c r="K33" s="117">
        <f t="shared" si="3"/>
        <v>3876</v>
      </c>
      <c r="L33" s="117">
        <f t="shared" si="4"/>
        <v>445.51724137931041</v>
      </c>
      <c r="M33" s="118" t="s">
        <v>441</v>
      </c>
      <c r="N33" s="118">
        <v>12</v>
      </c>
      <c r="O33" s="118"/>
      <c r="P33" s="118"/>
      <c r="Q33" s="106" t="s">
        <v>470</v>
      </c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spans="1:27" x14ac:dyDescent="0.25">
      <c r="A34" s="112">
        <v>46093</v>
      </c>
      <c r="B34" s="112" t="str">
        <f t="shared" si="0"/>
        <v>2026</v>
      </c>
      <c r="C34" s="112" t="str">
        <f t="shared" si="1"/>
        <v>March</v>
      </c>
      <c r="D34" s="121">
        <v>2</v>
      </c>
      <c r="E34" s="97" t="s">
        <v>432</v>
      </c>
      <c r="F34" s="97">
        <v>12</v>
      </c>
      <c r="G34" s="97">
        <v>10.8</v>
      </c>
      <c r="H34" s="115">
        <f t="shared" si="2"/>
        <v>0.9</v>
      </c>
      <c r="I34" s="116">
        <v>12</v>
      </c>
      <c r="J34" s="114">
        <v>420</v>
      </c>
      <c r="K34" s="117">
        <f t="shared" si="3"/>
        <v>5040</v>
      </c>
      <c r="L34" s="117">
        <f t="shared" si="4"/>
        <v>466.66666666666663</v>
      </c>
      <c r="M34" s="118" t="s">
        <v>451</v>
      </c>
      <c r="N34" s="118">
        <v>12</v>
      </c>
      <c r="O34" s="118"/>
      <c r="P34" s="118"/>
      <c r="Q34" s="106" t="s">
        <v>471</v>
      </c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spans="1:27" x14ac:dyDescent="0.25">
      <c r="A35" s="112">
        <v>46094</v>
      </c>
      <c r="B35" s="112" t="str">
        <f t="shared" si="0"/>
        <v>2026</v>
      </c>
      <c r="C35" s="112" t="str">
        <f t="shared" si="1"/>
        <v>March</v>
      </c>
      <c r="D35" s="121">
        <v>1</v>
      </c>
      <c r="E35" s="97" t="s">
        <v>432</v>
      </c>
      <c r="F35" s="97">
        <v>2</v>
      </c>
      <c r="G35" s="97">
        <v>2</v>
      </c>
      <c r="H35" s="115">
        <f t="shared" si="2"/>
        <v>1</v>
      </c>
      <c r="I35" s="116">
        <v>12</v>
      </c>
      <c r="J35" s="114">
        <v>96</v>
      </c>
      <c r="K35" s="117">
        <f t="shared" si="3"/>
        <v>1152</v>
      </c>
      <c r="L35" s="117">
        <f t="shared" si="4"/>
        <v>576</v>
      </c>
      <c r="M35" s="118" t="s">
        <v>453</v>
      </c>
      <c r="N35" s="118">
        <v>12</v>
      </c>
      <c r="O35" s="118"/>
      <c r="P35" s="118"/>
      <c r="Q35" s="106" t="s">
        <v>472</v>
      </c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spans="1:27" x14ac:dyDescent="0.25">
      <c r="A36" s="112">
        <v>46094</v>
      </c>
      <c r="B36" s="112" t="str">
        <f t="shared" si="0"/>
        <v>2026</v>
      </c>
      <c r="C36" s="112" t="str">
        <f t="shared" si="1"/>
        <v>March</v>
      </c>
      <c r="D36" s="121">
        <v>2</v>
      </c>
      <c r="E36" s="97" t="s">
        <v>432</v>
      </c>
      <c r="F36" s="97">
        <v>12</v>
      </c>
      <c r="G36" s="97">
        <v>10.8</v>
      </c>
      <c r="H36" s="115">
        <f t="shared" si="2"/>
        <v>0.9</v>
      </c>
      <c r="I36" s="116">
        <v>12</v>
      </c>
      <c r="J36" s="114">
        <v>340</v>
      </c>
      <c r="K36" s="117">
        <f t="shared" si="3"/>
        <v>4080</v>
      </c>
      <c r="L36" s="117">
        <f t="shared" si="4"/>
        <v>377.77777777777777</v>
      </c>
      <c r="M36" s="118" t="s">
        <v>451</v>
      </c>
      <c r="N36" s="118">
        <v>12</v>
      </c>
      <c r="O36" s="118"/>
      <c r="P36" s="118"/>
      <c r="Q36" s="106" t="s">
        <v>473</v>
      </c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spans="1:27" x14ac:dyDescent="0.25">
      <c r="A37" s="112">
        <v>46097</v>
      </c>
      <c r="B37" s="112" t="str">
        <f t="shared" si="0"/>
        <v>2026</v>
      </c>
      <c r="C37" s="112" t="str">
        <f t="shared" si="1"/>
        <v>March</v>
      </c>
      <c r="D37" s="121">
        <v>2</v>
      </c>
      <c r="E37" s="97" t="s">
        <v>432</v>
      </c>
      <c r="F37" s="97">
        <v>12</v>
      </c>
      <c r="G37" s="97">
        <v>9</v>
      </c>
      <c r="H37" s="115">
        <f t="shared" si="2"/>
        <v>0.75</v>
      </c>
      <c r="I37" s="116">
        <v>12</v>
      </c>
      <c r="J37" s="114">
        <v>289</v>
      </c>
      <c r="K37" s="117">
        <f t="shared" si="3"/>
        <v>3468</v>
      </c>
      <c r="L37" s="117">
        <f t="shared" si="4"/>
        <v>385.33333333333331</v>
      </c>
      <c r="M37" s="118" t="s">
        <v>459</v>
      </c>
      <c r="N37" s="118">
        <v>12</v>
      </c>
      <c r="O37" s="118"/>
      <c r="P37" s="118"/>
      <c r="Q37" s="106" t="s">
        <v>464</v>
      </c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spans="1:27" x14ac:dyDescent="0.25">
      <c r="A38" s="112">
        <v>46098</v>
      </c>
      <c r="B38" s="112" t="str">
        <f t="shared" si="0"/>
        <v>2026</v>
      </c>
      <c r="C38" s="112" t="str">
        <f t="shared" si="1"/>
        <v>March</v>
      </c>
      <c r="D38" s="121">
        <v>2</v>
      </c>
      <c r="E38" s="97" t="s">
        <v>432</v>
      </c>
      <c r="F38" s="97">
        <v>12</v>
      </c>
      <c r="G38" s="97">
        <v>9</v>
      </c>
      <c r="H38" s="115">
        <f t="shared" si="2"/>
        <v>0.75</v>
      </c>
      <c r="I38" s="116">
        <v>12</v>
      </c>
      <c r="J38" s="114">
        <v>283</v>
      </c>
      <c r="K38" s="117">
        <f t="shared" si="3"/>
        <v>3396</v>
      </c>
      <c r="L38" s="117">
        <f t="shared" si="4"/>
        <v>377.33333333333331</v>
      </c>
      <c r="M38" s="118" t="s">
        <v>459</v>
      </c>
      <c r="N38" s="118">
        <v>12</v>
      </c>
      <c r="O38" s="118"/>
      <c r="P38" s="118"/>
      <c r="Q38" s="106" t="s">
        <v>474</v>
      </c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spans="1:27" x14ac:dyDescent="0.25">
      <c r="A39" s="112">
        <v>46099</v>
      </c>
      <c r="B39" s="112" t="str">
        <f t="shared" si="0"/>
        <v>2026</v>
      </c>
      <c r="C39" s="112" t="str">
        <f t="shared" si="1"/>
        <v>March</v>
      </c>
      <c r="D39" s="121">
        <v>1</v>
      </c>
      <c r="E39" s="97" t="s">
        <v>432</v>
      </c>
      <c r="F39" s="97">
        <v>12</v>
      </c>
      <c r="G39" s="97">
        <v>4</v>
      </c>
      <c r="H39" s="115">
        <f t="shared" si="2"/>
        <v>0.33333333333333331</v>
      </c>
      <c r="I39" s="116">
        <v>12</v>
      </c>
      <c r="J39" s="114">
        <v>163</v>
      </c>
      <c r="K39" s="117">
        <f t="shared" si="3"/>
        <v>1956</v>
      </c>
      <c r="L39" s="117">
        <f t="shared" si="4"/>
        <v>489</v>
      </c>
      <c r="M39" s="118" t="s">
        <v>433</v>
      </c>
      <c r="N39" s="118">
        <v>12</v>
      </c>
      <c r="O39" s="118"/>
      <c r="P39" s="118"/>
      <c r="Q39" s="106" t="s">
        <v>475</v>
      </c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spans="1:27" x14ac:dyDescent="0.25">
      <c r="A40" s="112">
        <v>46104</v>
      </c>
      <c r="B40" s="112" t="str">
        <f t="shared" si="0"/>
        <v>2026</v>
      </c>
      <c r="C40" s="112" t="str">
        <f t="shared" si="1"/>
        <v>March</v>
      </c>
      <c r="D40" s="121">
        <v>2</v>
      </c>
      <c r="E40" s="97" t="s">
        <v>432</v>
      </c>
      <c r="F40" s="97">
        <v>12</v>
      </c>
      <c r="H40" s="115">
        <f t="shared" si="2"/>
        <v>0</v>
      </c>
      <c r="I40" s="116">
        <v>12</v>
      </c>
      <c r="J40" s="114"/>
      <c r="K40" s="117" t="str">
        <f t="shared" si="3"/>
        <v/>
      </c>
      <c r="L40" s="117" t="str">
        <f t="shared" si="4"/>
        <v/>
      </c>
      <c r="M40" s="118" t="s">
        <v>476</v>
      </c>
      <c r="N40" s="118">
        <v>12</v>
      </c>
      <c r="O40" s="118"/>
      <c r="P40" s="118"/>
      <c r="Q40" s="106" t="s">
        <v>477</v>
      </c>
      <c r="R40" s="106"/>
      <c r="S40" s="106"/>
      <c r="T40" s="106"/>
      <c r="U40" s="106"/>
      <c r="V40" s="106"/>
      <c r="W40" s="106"/>
      <c r="X40" s="106"/>
      <c r="Y40" s="106"/>
      <c r="Z40" s="106"/>
      <c r="AA40" s="106"/>
    </row>
    <row r="41" spans="1:27" x14ac:dyDescent="0.25">
      <c r="A41" s="112">
        <v>46105</v>
      </c>
      <c r="B41" s="112" t="str">
        <f t="shared" si="0"/>
        <v>2026</v>
      </c>
      <c r="C41" s="112" t="str">
        <f t="shared" si="1"/>
        <v>March</v>
      </c>
      <c r="D41" s="121">
        <v>2</v>
      </c>
      <c r="E41" s="97" t="s">
        <v>432</v>
      </c>
      <c r="F41" s="97">
        <v>12</v>
      </c>
      <c r="G41" s="97">
        <v>10.5</v>
      </c>
      <c r="H41" s="115">
        <f t="shared" si="2"/>
        <v>0.875</v>
      </c>
      <c r="I41" s="116">
        <v>12</v>
      </c>
      <c r="J41" s="114"/>
      <c r="K41" s="117">
        <v>2027</v>
      </c>
      <c r="L41" s="117">
        <f t="shared" si="4"/>
        <v>193.04761904761904</v>
      </c>
      <c r="M41" s="118" t="s">
        <v>476</v>
      </c>
      <c r="N41" s="118">
        <v>12</v>
      </c>
      <c r="O41" s="118"/>
      <c r="P41" s="118"/>
      <c r="Q41" s="106" t="s">
        <v>478</v>
      </c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 spans="1:27" ht="30" x14ac:dyDescent="0.25">
      <c r="A42" s="112">
        <v>46106</v>
      </c>
      <c r="B42" s="112" t="str">
        <f t="shared" si="0"/>
        <v>2026</v>
      </c>
      <c r="C42" s="112" t="str">
        <f t="shared" si="1"/>
        <v>March</v>
      </c>
      <c r="D42" s="121">
        <v>1</v>
      </c>
      <c r="E42" s="97" t="s">
        <v>432</v>
      </c>
      <c r="F42" s="97">
        <v>12</v>
      </c>
      <c r="G42" s="97">
        <v>10.8</v>
      </c>
      <c r="H42" s="115">
        <f t="shared" si="2"/>
        <v>0.9</v>
      </c>
      <c r="I42" s="116">
        <v>12</v>
      </c>
      <c r="J42" s="114">
        <v>405</v>
      </c>
      <c r="K42" s="117">
        <f t="shared" si="3"/>
        <v>4860</v>
      </c>
      <c r="L42" s="117">
        <f t="shared" si="4"/>
        <v>449.99999999999994</v>
      </c>
      <c r="M42" s="118" t="s">
        <v>479</v>
      </c>
      <c r="N42" s="118">
        <v>12</v>
      </c>
      <c r="O42" s="118"/>
      <c r="P42" s="118"/>
      <c r="Q42" s="106" t="s">
        <v>480</v>
      </c>
      <c r="R42" s="106"/>
      <c r="S42" s="106"/>
      <c r="T42" s="106"/>
      <c r="U42" s="106"/>
      <c r="V42" s="106"/>
      <c r="W42" s="106"/>
      <c r="X42" s="106"/>
      <c r="Y42" s="106"/>
      <c r="Z42" s="106"/>
      <c r="AA42" s="106"/>
    </row>
    <row r="43" spans="1:27" x14ac:dyDescent="0.25">
      <c r="A43" s="112">
        <v>46106</v>
      </c>
      <c r="B43" s="112" t="str">
        <f t="shared" si="0"/>
        <v>2026</v>
      </c>
      <c r="C43" s="112" t="str">
        <f t="shared" si="1"/>
        <v>March</v>
      </c>
      <c r="D43" s="121">
        <v>2</v>
      </c>
      <c r="E43" s="97" t="s">
        <v>432</v>
      </c>
      <c r="F43" s="97">
        <v>12</v>
      </c>
      <c r="G43" s="97">
        <v>10.8</v>
      </c>
      <c r="H43" s="115">
        <f t="shared" si="2"/>
        <v>0.9</v>
      </c>
      <c r="I43" s="116">
        <v>12</v>
      </c>
      <c r="J43" s="114"/>
      <c r="K43" s="117">
        <v>4802</v>
      </c>
      <c r="L43" s="117">
        <f t="shared" si="4"/>
        <v>444.62962962962962</v>
      </c>
      <c r="M43" s="118" t="s">
        <v>466</v>
      </c>
      <c r="N43" s="118">
        <v>12</v>
      </c>
      <c r="O43" s="118"/>
      <c r="P43" s="118"/>
      <c r="Q43" s="106" t="s">
        <v>481</v>
      </c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spans="1:27" x14ac:dyDescent="0.25">
      <c r="A44" s="112">
        <v>46107</v>
      </c>
      <c r="B44" s="112" t="str">
        <f t="shared" si="0"/>
        <v>2026</v>
      </c>
      <c r="C44" s="112" t="str">
        <f t="shared" si="1"/>
        <v>March</v>
      </c>
      <c r="D44" s="121">
        <v>2</v>
      </c>
      <c r="E44" s="97" t="s">
        <v>432</v>
      </c>
      <c r="F44" s="97">
        <v>12</v>
      </c>
      <c r="G44" s="97">
        <v>10</v>
      </c>
      <c r="H44" s="115">
        <f t="shared" si="2"/>
        <v>0.83333333333333337</v>
      </c>
      <c r="I44" s="116">
        <v>12</v>
      </c>
      <c r="J44" s="114"/>
      <c r="K44" s="117">
        <v>4420</v>
      </c>
      <c r="L44" s="117">
        <f t="shared" si="4"/>
        <v>442</v>
      </c>
      <c r="M44" s="118" t="s">
        <v>466</v>
      </c>
      <c r="N44" s="118">
        <v>12</v>
      </c>
      <c r="O44" s="118"/>
      <c r="P44" s="118"/>
      <c r="Q44" s="106" t="s">
        <v>482</v>
      </c>
      <c r="R44" s="106"/>
      <c r="S44" s="106"/>
      <c r="T44" s="106"/>
      <c r="U44" s="106"/>
      <c r="V44" s="106"/>
      <c r="W44" s="106"/>
      <c r="X44" s="106"/>
      <c r="Y44" s="106"/>
      <c r="Z44" s="106"/>
      <c r="AA44" s="106"/>
    </row>
    <row r="45" spans="1:27" x14ac:dyDescent="0.25">
      <c r="A45" s="112">
        <v>46108</v>
      </c>
      <c r="B45" s="112" t="str">
        <f t="shared" si="0"/>
        <v>2026</v>
      </c>
      <c r="C45" s="112" t="str">
        <f t="shared" si="1"/>
        <v>March</v>
      </c>
      <c r="D45" s="121">
        <v>2</v>
      </c>
      <c r="E45" s="97" t="s">
        <v>432</v>
      </c>
      <c r="F45" s="97">
        <v>12</v>
      </c>
      <c r="G45" s="97">
        <v>9.8000000000000007</v>
      </c>
      <c r="H45" s="115">
        <f t="shared" si="2"/>
        <v>0.81666666666666676</v>
      </c>
      <c r="I45" s="116">
        <v>12</v>
      </c>
      <c r="J45" s="114"/>
      <c r="K45" s="117">
        <v>4171</v>
      </c>
      <c r="L45" s="117">
        <f t="shared" si="4"/>
        <v>425.61224489795916</v>
      </c>
      <c r="M45" s="118" t="s">
        <v>466</v>
      </c>
      <c r="N45" s="118">
        <v>12</v>
      </c>
      <c r="O45" s="118"/>
      <c r="P45" s="118"/>
      <c r="Q45" s="106" t="s">
        <v>482</v>
      </c>
      <c r="R45" s="106"/>
      <c r="S45" s="106"/>
      <c r="T45" s="106"/>
      <c r="U45" s="106"/>
      <c r="V45" s="106"/>
      <c r="W45" s="106"/>
      <c r="X45" s="106"/>
      <c r="Y45" s="106"/>
      <c r="Z45" s="106"/>
      <c r="AA45" s="106"/>
    </row>
    <row r="46" spans="1:27" x14ac:dyDescent="0.25">
      <c r="A46" s="112">
        <v>46111</v>
      </c>
      <c r="B46" s="112" t="str">
        <f t="shared" si="0"/>
        <v>2026</v>
      </c>
      <c r="C46" s="112" t="str">
        <f t="shared" si="1"/>
        <v>March</v>
      </c>
      <c r="D46" s="121">
        <v>2</v>
      </c>
      <c r="E46" s="97" t="s">
        <v>432</v>
      </c>
      <c r="F46" s="97">
        <v>11</v>
      </c>
      <c r="G46" s="97">
        <v>9.6999999999999993</v>
      </c>
      <c r="H46" s="115">
        <f t="shared" si="2"/>
        <v>0.88181818181818172</v>
      </c>
      <c r="I46" s="116">
        <v>12</v>
      </c>
      <c r="J46" s="114"/>
      <c r="K46" s="117">
        <v>4331</v>
      </c>
      <c r="L46" s="117">
        <f t="shared" si="4"/>
        <v>446.4948453608248</v>
      </c>
      <c r="M46" s="118" t="s">
        <v>466</v>
      </c>
      <c r="N46" s="118">
        <v>11</v>
      </c>
      <c r="O46" s="118"/>
      <c r="P46" s="118"/>
      <c r="Q46" s="106" t="s">
        <v>482</v>
      </c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spans="1:27" x14ac:dyDescent="0.25">
      <c r="A47" s="112">
        <v>46112</v>
      </c>
      <c r="B47" s="112" t="str">
        <f t="shared" si="0"/>
        <v>2026</v>
      </c>
      <c r="C47" s="112" t="str">
        <f t="shared" si="1"/>
        <v>March</v>
      </c>
      <c r="D47" s="121">
        <v>2</v>
      </c>
      <c r="E47" s="97" t="s">
        <v>432</v>
      </c>
      <c r="F47" s="97">
        <v>12</v>
      </c>
      <c r="H47" s="115">
        <f t="shared" si="2"/>
        <v>0</v>
      </c>
      <c r="I47" s="116">
        <v>12</v>
      </c>
      <c r="J47" s="114"/>
      <c r="K47" s="117">
        <v>4334</v>
      </c>
      <c r="L47" s="117" t="str">
        <f t="shared" si="4"/>
        <v/>
      </c>
      <c r="M47" s="118" t="s">
        <v>466</v>
      </c>
      <c r="N47" s="118"/>
      <c r="O47" s="118"/>
      <c r="P47" s="118"/>
      <c r="Q47" s="106" t="s">
        <v>483</v>
      </c>
      <c r="R47" s="106"/>
      <c r="S47" s="106"/>
      <c r="T47" s="106"/>
      <c r="U47" s="106"/>
      <c r="V47" s="106"/>
      <c r="W47" s="106"/>
      <c r="X47" s="106"/>
      <c r="Y47" s="106"/>
      <c r="Z47" s="106"/>
      <c r="AA47" s="106"/>
    </row>
    <row r="48" spans="1:27" x14ac:dyDescent="0.25">
      <c r="A48" s="112">
        <v>46113</v>
      </c>
      <c r="B48" s="112" t="str">
        <f t="shared" si="0"/>
        <v>2026</v>
      </c>
      <c r="C48" s="112" t="str">
        <f t="shared" si="1"/>
        <v>April</v>
      </c>
      <c r="D48" s="121">
        <v>1</v>
      </c>
      <c r="E48" s="97" t="s">
        <v>432</v>
      </c>
      <c r="F48" s="97">
        <v>12</v>
      </c>
      <c r="G48" s="97">
        <v>10.9</v>
      </c>
      <c r="H48" s="115">
        <f t="shared" si="2"/>
        <v>0.90833333333333333</v>
      </c>
      <c r="I48" s="116">
        <v>12.5</v>
      </c>
      <c r="J48" s="114">
        <v>369</v>
      </c>
      <c r="K48" s="117">
        <f t="shared" si="3"/>
        <v>4612.5</v>
      </c>
      <c r="L48" s="117">
        <f t="shared" si="4"/>
        <v>423.16513761467888</v>
      </c>
      <c r="M48" s="118" t="s">
        <v>441</v>
      </c>
      <c r="N48" s="118">
        <v>12</v>
      </c>
      <c r="O48" s="118"/>
      <c r="P48" s="118"/>
      <c r="Q48" s="106" t="s">
        <v>370</v>
      </c>
      <c r="R48" s="106"/>
      <c r="S48" s="106"/>
      <c r="T48" s="106"/>
      <c r="U48" s="106"/>
      <c r="V48" s="106"/>
      <c r="W48" s="106"/>
      <c r="X48" s="106"/>
      <c r="Y48" s="106"/>
      <c r="Z48" s="106"/>
      <c r="AA48" s="106"/>
    </row>
    <row r="49" spans="1:27" x14ac:dyDescent="0.25">
      <c r="A49" s="112">
        <v>46113</v>
      </c>
      <c r="B49" s="112" t="str">
        <f t="shared" si="0"/>
        <v>2026</v>
      </c>
      <c r="C49" s="112" t="str">
        <f t="shared" si="1"/>
        <v>April</v>
      </c>
      <c r="D49" s="121">
        <v>2</v>
      </c>
      <c r="E49" s="97" t="s">
        <v>432</v>
      </c>
      <c r="F49" s="97">
        <v>12</v>
      </c>
      <c r="H49" s="115">
        <f t="shared" si="2"/>
        <v>0</v>
      </c>
      <c r="I49" s="116">
        <v>12.5</v>
      </c>
      <c r="J49" s="114">
        <v>169</v>
      </c>
      <c r="K49" s="117">
        <f t="shared" si="3"/>
        <v>2112.5</v>
      </c>
      <c r="L49" s="117" t="str">
        <f t="shared" si="4"/>
        <v/>
      </c>
      <c r="M49" s="118" t="s">
        <v>466</v>
      </c>
      <c r="N49" s="118">
        <v>12</v>
      </c>
      <c r="O49" s="118"/>
      <c r="P49" s="118"/>
      <c r="Q49" s="106" t="s">
        <v>484</v>
      </c>
      <c r="R49" s="106"/>
      <c r="S49" s="106"/>
      <c r="T49" s="106"/>
      <c r="U49" s="106"/>
      <c r="V49" s="106"/>
      <c r="W49" s="106"/>
      <c r="X49" s="106"/>
      <c r="Y49" s="106"/>
      <c r="Z49" s="106"/>
      <c r="AA49" s="106"/>
    </row>
    <row r="50" spans="1:27" x14ac:dyDescent="0.25">
      <c r="A50" s="112">
        <v>46115</v>
      </c>
      <c r="B50" s="112" t="str">
        <f t="shared" si="0"/>
        <v>2026</v>
      </c>
      <c r="C50" s="112" t="str">
        <f t="shared" si="1"/>
        <v>April</v>
      </c>
      <c r="D50" s="121">
        <v>2</v>
      </c>
      <c r="E50" s="97" t="s">
        <v>432</v>
      </c>
      <c r="F50" s="97">
        <v>12</v>
      </c>
      <c r="H50" s="115">
        <f t="shared" si="2"/>
        <v>0</v>
      </c>
      <c r="I50" s="116">
        <v>13.5</v>
      </c>
      <c r="J50" s="114"/>
      <c r="K50" s="117" t="str">
        <f t="shared" si="3"/>
        <v/>
      </c>
      <c r="L50" s="117" t="str">
        <f t="shared" si="4"/>
        <v/>
      </c>
      <c r="M50" s="118" t="s">
        <v>485</v>
      </c>
      <c r="N50" s="118">
        <v>12</v>
      </c>
      <c r="O50" s="118"/>
      <c r="P50" s="118"/>
      <c r="Q50" s="106" t="s">
        <v>486</v>
      </c>
      <c r="R50" s="106"/>
      <c r="S50" s="106"/>
      <c r="T50" s="106"/>
      <c r="U50" s="106"/>
      <c r="V50" s="106"/>
      <c r="W50" s="106"/>
      <c r="X50" s="106"/>
      <c r="Y50" s="106"/>
      <c r="Z50" s="106"/>
      <c r="AA50" s="106"/>
    </row>
    <row r="51" spans="1:27" x14ac:dyDescent="0.25">
      <c r="A51" s="112">
        <v>46118</v>
      </c>
      <c r="B51" s="112" t="str">
        <f t="shared" si="0"/>
        <v>2026</v>
      </c>
      <c r="C51" s="112" t="str">
        <f t="shared" si="1"/>
        <v>April</v>
      </c>
      <c r="D51" s="121">
        <v>2</v>
      </c>
      <c r="E51" s="97" t="s">
        <v>432</v>
      </c>
      <c r="F51" s="97">
        <v>12</v>
      </c>
      <c r="G51">
        <v>8.5</v>
      </c>
      <c r="H51" s="115">
        <f t="shared" si="2"/>
        <v>0.70833333333333337</v>
      </c>
      <c r="I51" s="116">
        <v>12</v>
      </c>
      <c r="J51" s="114">
        <v>179</v>
      </c>
      <c r="K51" s="117">
        <f t="shared" si="3"/>
        <v>2148</v>
      </c>
      <c r="L51" s="117">
        <f t="shared" si="4"/>
        <v>252.70588235294119</v>
      </c>
      <c r="M51" s="118" t="s">
        <v>485</v>
      </c>
      <c r="N51" s="118">
        <v>12</v>
      </c>
      <c r="O51" s="118"/>
      <c r="P51" s="118"/>
      <c r="Q51" s="106" t="s">
        <v>487</v>
      </c>
      <c r="R51" s="106"/>
      <c r="S51" s="106"/>
      <c r="T51" s="106"/>
      <c r="U51" s="106"/>
      <c r="V51" s="106"/>
      <c r="W51" s="106"/>
      <c r="X51" s="106"/>
      <c r="Y51" s="106"/>
      <c r="Z51" s="106"/>
      <c r="AA51" s="106"/>
    </row>
    <row r="52" spans="1:27" x14ac:dyDescent="0.25">
      <c r="A52" s="112">
        <v>46119</v>
      </c>
      <c r="B52" s="112" t="str">
        <f t="shared" si="0"/>
        <v>2026</v>
      </c>
      <c r="C52" s="112" t="str">
        <f t="shared" si="1"/>
        <v>April</v>
      </c>
      <c r="D52" s="121">
        <v>2</v>
      </c>
      <c r="E52" s="97" t="s">
        <v>432</v>
      </c>
      <c r="F52" s="97">
        <v>12</v>
      </c>
      <c r="G52">
        <v>7.3</v>
      </c>
      <c r="H52" s="115">
        <f t="shared" si="2"/>
        <v>0.60833333333333328</v>
      </c>
      <c r="I52" s="116">
        <v>11</v>
      </c>
      <c r="J52" s="114">
        <v>312</v>
      </c>
      <c r="K52" s="117">
        <f t="shared" si="3"/>
        <v>3432</v>
      </c>
      <c r="L52" s="117">
        <f t="shared" si="4"/>
        <v>470.13698630136986</v>
      </c>
      <c r="M52" s="118" t="s">
        <v>466</v>
      </c>
      <c r="N52" s="118">
        <v>12</v>
      </c>
      <c r="O52" s="118"/>
      <c r="P52" s="118"/>
      <c r="Q52" s="106" t="s">
        <v>488</v>
      </c>
      <c r="R52" s="106"/>
      <c r="S52" s="106"/>
      <c r="T52" s="106"/>
      <c r="U52" s="106"/>
      <c r="V52" s="106"/>
      <c r="W52" s="106"/>
      <c r="X52" s="106"/>
      <c r="Y52" s="106"/>
      <c r="Z52" s="106"/>
      <c r="AA52" s="106"/>
    </row>
    <row r="53" spans="1:27" x14ac:dyDescent="0.25">
      <c r="A53" s="112">
        <v>46120</v>
      </c>
      <c r="B53" s="112" t="str">
        <f t="shared" si="0"/>
        <v>2026</v>
      </c>
      <c r="C53" s="112" t="str">
        <f t="shared" si="1"/>
        <v>April</v>
      </c>
      <c r="D53" s="121">
        <v>2</v>
      </c>
      <c r="E53" s="97" t="s">
        <v>432</v>
      </c>
      <c r="F53" s="97">
        <v>12</v>
      </c>
      <c r="G53">
        <v>10.6</v>
      </c>
      <c r="H53" s="115">
        <f t="shared" si="2"/>
        <v>0.8833333333333333</v>
      </c>
      <c r="I53" s="116">
        <v>11.5</v>
      </c>
      <c r="J53" s="114">
        <v>432</v>
      </c>
      <c r="K53" s="117">
        <f t="shared" si="3"/>
        <v>4968</v>
      </c>
      <c r="L53" s="117">
        <f t="shared" si="4"/>
        <v>468.67924528301887</v>
      </c>
      <c r="M53" s="118" t="s">
        <v>466</v>
      </c>
      <c r="N53" s="118">
        <v>12</v>
      </c>
      <c r="O53" s="118"/>
      <c r="P53" s="118"/>
      <c r="Q53" s="106" t="s">
        <v>464</v>
      </c>
      <c r="R53" s="106"/>
      <c r="S53" s="106"/>
      <c r="T53" s="106"/>
      <c r="U53" s="106"/>
      <c r="V53" s="106"/>
      <c r="W53" s="106"/>
      <c r="X53" s="106"/>
      <c r="Y53" s="106"/>
      <c r="Z53" s="106"/>
      <c r="AA53" s="106"/>
    </row>
    <row r="54" spans="1:27" x14ac:dyDescent="0.25">
      <c r="A54" s="112">
        <v>46121</v>
      </c>
      <c r="B54" s="112" t="str">
        <f t="shared" si="0"/>
        <v>2026</v>
      </c>
      <c r="C54" s="112" t="str">
        <f t="shared" si="1"/>
        <v>April</v>
      </c>
      <c r="D54" s="121">
        <v>2</v>
      </c>
      <c r="E54" s="97" t="s">
        <v>432</v>
      </c>
      <c r="F54" s="97">
        <v>12</v>
      </c>
      <c r="G54">
        <v>10.7</v>
      </c>
      <c r="H54" s="115">
        <f t="shared" si="2"/>
        <v>0.89166666666666661</v>
      </c>
      <c r="I54" s="116">
        <v>11.8</v>
      </c>
      <c r="J54" s="114">
        <v>426</v>
      </c>
      <c r="K54" s="117">
        <f t="shared" si="3"/>
        <v>5026.8</v>
      </c>
      <c r="L54" s="117">
        <f t="shared" si="4"/>
        <v>469.79439252336454</v>
      </c>
      <c r="M54" s="118" t="s">
        <v>466</v>
      </c>
      <c r="N54" s="118">
        <v>12</v>
      </c>
      <c r="O54" s="118"/>
      <c r="P54" s="118"/>
      <c r="Q54" s="106" t="s">
        <v>370</v>
      </c>
      <c r="R54" s="106"/>
      <c r="S54" s="106"/>
      <c r="T54" s="106"/>
      <c r="U54" s="106"/>
      <c r="V54" s="106"/>
      <c r="W54" s="106"/>
      <c r="X54" s="106"/>
      <c r="Y54" s="106"/>
      <c r="Z54" s="106"/>
      <c r="AA54" s="106"/>
    </row>
    <row r="55" spans="1:27" x14ac:dyDescent="0.25">
      <c r="A55" s="112">
        <v>46122</v>
      </c>
      <c r="B55" s="112" t="str">
        <f t="shared" si="0"/>
        <v>2026</v>
      </c>
      <c r="C55" s="112" t="str">
        <f t="shared" si="1"/>
        <v>April</v>
      </c>
      <c r="D55" s="121">
        <v>2</v>
      </c>
      <c r="E55" s="97" t="s">
        <v>432</v>
      </c>
      <c r="F55" s="97">
        <v>12</v>
      </c>
      <c r="G55">
        <v>10.8</v>
      </c>
      <c r="H55" s="115">
        <f t="shared" si="2"/>
        <v>0.9</v>
      </c>
      <c r="I55" s="116">
        <v>11.8</v>
      </c>
      <c r="J55" s="114">
        <v>426</v>
      </c>
      <c r="K55" s="117">
        <f t="shared" si="3"/>
        <v>5026.8</v>
      </c>
      <c r="L55" s="117">
        <f t="shared" si="4"/>
        <v>465.44444444444446</v>
      </c>
      <c r="M55" s="118" t="s">
        <v>466</v>
      </c>
      <c r="N55" s="118">
        <v>12</v>
      </c>
      <c r="O55" s="118"/>
      <c r="P55" s="118"/>
      <c r="Q55" s="106" t="s">
        <v>370</v>
      </c>
      <c r="R55" s="106"/>
      <c r="S55" s="106"/>
      <c r="T55" s="106"/>
      <c r="U55" s="106"/>
      <c r="V55" s="106"/>
      <c r="W55" s="106"/>
      <c r="X55" s="106"/>
      <c r="Y55" s="106"/>
      <c r="Z55" s="106"/>
      <c r="AA55" s="106"/>
    </row>
    <row r="56" spans="1:27" x14ac:dyDescent="0.25">
      <c r="A56" s="112">
        <v>46125</v>
      </c>
      <c r="B56" s="112" t="str">
        <f t="shared" si="0"/>
        <v>2026</v>
      </c>
      <c r="C56" s="112" t="str">
        <f t="shared" si="1"/>
        <v>April</v>
      </c>
      <c r="D56" s="121">
        <v>2</v>
      </c>
      <c r="E56" s="97" t="s">
        <v>432</v>
      </c>
      <c r="F56" s="97">
        <v>12</v>
      </c>
      <c r="G56">
        <v>10.4</v>
      </c>
      <c r="H56" s="115">
        <f t="shared" si="2"/>
        <v>0.8666666666666667</v>
      </c>
      <c r="I56" s="116">
        <v>12.2</v>
      </c>
      <c r="J56" s="114">
        <v>402</v>
      </c>
      <c r="K56" s="117">
        <f t="shared" si="3"/>
        <v>4904.3999999999996</v>
      </c>
      <c r="L56" s="117">
        <f t="shared" si="4"/>
        <v>471.57692307692304</v>
      </c>
      <c r="M56" s="118" t="s">
        <v>466</v>
      </c>
      <c r="N56" s="118">
        <v>12</v>
      </c>
      <c r="O56" s="118"/>
      <c r="P56" s="118"/>
      <c r="Q56" s="106" t="s">
        <v>370</v>
      </c>
      <c r="R56" s="106"/>
      <c r="S56" s="106"/>
      <c r="T56" s="106"/>
      <c r="U56" s="106"/>
      <c r="V56" s="106"/>
      <c r="W56" s="106"/>
      <c r="X56" s="106"/>
      <c r="Y56" s="106"/>
      <c r="Z56" s="106"/>
      <c r="AA56" s="106"/>
    </row>
    <row r="57" spans="1:27" x14ac:dyDescent="0.25">
      <c r="A57" s="112">
        <v>46126</v>
      </c>
      <c r="B57" s="112" t="str">
        <f t="shared" si="0"/>
        <v>2026</v>
      </c>
      <c r="C57" s="112" t="str">
        <f t="shared" si="1"/>
        <v>April</v>
      </c>
      <c r="D57" s="121">
        <v>2</v>
      </c>
      <c r="E57" s="97" t="s">
        <v>432</v>
      </c>
      <c r="F57" s="97">
        <v>12</v>
      </c>
      <c r="H57" s="115">
        <f t="shared" si="2"/>
        <v>0</v>
      </c>
      <c r="I57" s="116">
        <v>11.7</v>
      </c>
      <c r="J57" s="114">
        <v>436</v>
      </c>
      <c r="K57" s="117">
        <f t="shared" si="3"/>
        <v>5101.2</v>
      </c>
      <c r="L57" s="117" t="str">
        <f t="shared" si="4"/>
        <v/>
      </c>
      <c r="M57" s="118" t="s">
        <v>466</v>
      </c>
      <c r="N57" s="118">
        <v>12</v>
      </c>
      <c r="O57" s="118"/>
      <c r="P57" s="118"/>
      <c r="Q57" s="106" t="s">
        <v>489</v>
      </c>
      <c r="R57" s="106"/>
      <c r="S57" s="106"/>
      <c r="T57" s="106"/>
      <c r="U57" s="106"/>
      <c r="V57" s="106"/>
      <c r="W57" s="106"/>
      <c r="X57" s="106"/>
      <c r="Y57" s="106"/>
      <c r="Z57" s="106"/>
      <c r="AA57" s="106"/>
    </row>
    <row r="58" spans="1:27" x14ac:dyDescent="0.25">
      <c r="A58" s="112">
        <v>46127</v>
      </c>
      <c r="B58" s="112" t="str">
        <f t="shared" si="0"/>
        <v>2026</v>
      </c>
      <c r="C58" s="112" t="str">
        <f t="shared" si="1"/>
        <v>April</v>
      </c>
      <c r="D58" s="121">
        <v>2</v>
      </c>
      <c r="E58" s="97" t="s">
        <v>432</v>
      </c>
      <c r="F58" s="97">
        <v>12</v>
      </c>
      <c r="G58">
        <v>7.5</v>
      </c>
      <c r="H58" s="115">
        <f t="shared" si="2"/>
        <v>0.625</v>
      </c>
      <c r="I58" s="116">
        <v>12.2</v>
      </c>
      <c r="J58" s="114">
        <v>287</v>
      </c>
      <c r="K58" s="117">
        <f t="shared" si="3"/>
        <v>3501.3999999999996</v>
      </c>
      <c r="L58" s="117">
        <f t="shared" si="4"/>
        <v>466.8533333333333</v>
      </c>
      <c r="M58" s="118" t="s">
        <v>466</v>
      </c>
      <c r="N58" s="118">
        <v>12</v>
      </c>
      <c r="O58" s="118"/>
      <c r="P58" s="118"/>
      <c r="Q58" s="106" t="s">
        <v>490</v>
      </c>
      <c r="R58" s="106"/>
      <c r="S58" s="106"/>
      <c r="T58" s="106"/>
      <c r="U58" s="106"/>
      <c r="V58" s="106"/>
      <c r="W58" s="106"/>
      <c r="X58" s="106"/>
      <c r="Y58" s="106"/>
      <c r="Z58" s="106"/>
      <c r="AA58" s="106"/>
    </row>
    <row r="59" spans="1:27" x14ac:dyDescent="0.25">
      <c r="A59" s="112">
        <v>46128</v>
      </c>
      <c r="B59" s="112" t="str">
        <f t="shared" si="0"/>
        <v>2026</v>
      </c>
      <c r="C59" s="112" t="str">
        <f t="shared" si="1"/>
        <v>April</v>
      </c>
      <c r="D59" s="121">
        <v>1</v>
      </c>
      <c r="E59" s="97" t="s">
        <v>432</v>
      </c>
      <c r="F59" s="97">
        <v>5.4</v>
      </c>
      <c r="G59">
        <v>5.4</v>
      </c>
      <c r="H59" s="115">
        <f t="shared" si="2"/>
        <v>1</v>
      </c>
      <c r="I59" s="116">
        <v>13.5</v>
      </c>
      <c r="J59" s="114">
        <v>192</v>
      </c>
      <c r="K59" s="117">
        <f t="shared" si="3"/>
        <v>2592</v>
      </c>
      <c r="L59" s="117">
        <f t="shared" si="4"/>
        <v>479.99999999999994</v>
      </c>
      <c r="M59" s="118" t="s">
        <v>441</v>
      </c>
      <c r="N59" s="118">
        <v>12</v>
      </c>
      <c r="O59" s="118"/>
      <c r="P59" s="118"/>
      <c r="Q59" s="106" t="s">
        <v>491</v>
      </c>
      <c r="R59" s="106"/>
      <c r="S59" s="106"/>
      <c r="T59" s="106"/>
      <c r="U59" s="106"/>
      <c r="V59" s="106"/>
      <c r="W59" s="106"/>
      <c r="X59" s="106"/>
      <c r="Y59" s="106"/>
      <c r="Z59" s="106"/>
      <c r="AA59" s="106"/>
    </row>
    <row r="60" spans="1:27" x14ac:dyDescent="0.25">
      <c r="A60" s="112">
        <v>46128</v>
      </c>
      <c r="B60" s="112" t="str">
        <f t="shared" si="0"/>
        <v>2026</v>
      </c>
      <c r="C60" s="112" t="str">
        <f t="shared" si="1"/>
        <v>April</v>
      </c>
      <c r="D60" s="121">
        <v>2</v>
      </c>
      <c r="E60" s="97" t="s">
        <v>432</v>
      </c>
      <c r="F60" s="97">
        <v>12</v>
      </c>
      <c r="G60">
        <v>10.8</v>
      </c>
      <c r="H60" s="115">
        <f t="shared" si="2"/>
        <v>0.9</v>
      </c>
      <c r="I60" s="116">
        <v>11.7</v>
      </c>
      <c r="J60" s="114">
        <v>437</v>
      </c>
      <c r="K60" s="117">
        <f t="shared" si="3"/>
        <v>5112.8999999999996</v>
      </c>
      <c r="L60" s="117">
        <f t="shared" si="4"/>
        <v>473.41666666666663</v>
      </c>
      <c r="M60" s="118" t="s">
        <v>466</v>
      </c>
      <c r="N60" s="118">
        <v>12</v>
      </c>
      <c r="O60" s="118"/>
      <c r="P60" s="118"/>
      <c r="Q60" s="106" t="s">
        <v>370</v>
      </c>
      <c r="R60" s="106"/>
      <c r="S60" s="106"/>
      <c r="T60" s="106"/>
      <c r="U60" s="106"/>
      <c r="V60" s="106"/>
      <c r="W60" s="106"/>
      <c r="X60" s="106"/>
      <c r="Y60" s="106"/>
      <c r="Z60" s="106"/>
      <c r="AA60" s="106"/>
    </row>
    <row r="61" spans="1:27" x14ac:dyDescent="0.25">
      <c r="A61" s="112">
        <v>46129</v>
      </c>
      <c r="B61" s="112" t="str">
        <f t="shared" si="0"/>
        <v>2026</v>
      </c>
      <c r="C61" s="112" t="str">
        <f t="shared" si="1"/>
        <v>April</v>
      </c>
      <c r="D61" s="121">
        <v>1</v>
      </c>
      <c r="E61" s="97" t="s">
        <v>432</v>
      </c>
      <c r="F61" s="97">
        <v>4.3</v>
      </c>
      <c r="G61">
        <v>4.3</v>
      </c>
      <c r="H61" s="115">
        <f t="shared" si="2"/>
        <v>1</v>
      </c>
      <c r="I61" s="116">
        <v>13.2</v>
      </c>
      <c r="J61" s="114">
        <v>144</v>
      </c>
      <c r="K61" s="117">
        <f t="shared" si="3"/>
        <v>1900.8</v>
      </c>
      <c r="L61" s="117">
        <f t="shared" si="4"/>
        <v>442.04651162790697</v>
      </c>
      <c r="M61" s="118" t="s">
        <v>441</v>
      </c>
      <c r="N61" s="118">
        <v>12</v>
      </c>
      <c r="O61" s="118"/>
      <c r="P61" s="118"/>
      <c r="Q61" s="106" t="s">
        <v>492</v>
      </c>
      <c r="R61" s="106"/>
      <c r="S61" s="106"/>
      <c r="T61" s="106"/>
      <c r="U61" s="106"/>
      <c r="V61" s="106"/>
      <c r="W61" s="106"/>
      <c r="X61" s="106"/>
      <c r="Y61" s="106"/>
      <c r="Z61" s="106"/>
      <c r="AA61" s="106"/>
    </row>
    <row r="62" spans="1:27" x14ac:dyDescent="0.25">
      <c r="A62" s="112">
        <v>46129</v>
      </c>
      <c r="B62" s="112" t="str">
        <f t="shared" si="0"/>
        <v>2026</v>
      </c>
      <c r="C62" s="112" t="str">
        <f t="shared" si="1"/>
        <v>April</v>
      </c>
      <c r="D62" s="121">
        <v>2</v>
      </c>
      <c r="E62" s="97" t="s">
        <v>432</v>
      </c>
      <c r="F62" s="97">
        <v>12</v>
      </c>
      <c r="G62">
        <v>4.5999999999999996</v>
      </c>
      <c r="H62" s="115">
        <f t="shared" si="2"/>
        <v>0.3833333333333333</v>
      </c>
      <c r="I62" s="116">
        <v>12.8</v>
      </c>
      <c r="J62" s="114">
        <v>160</v>
      </c>
      <c r="K62" s="117">
        <f t="shared" si="3"/>
        <v>2048</v>
      </c>
      <c r="L62" s="117">
        <f t="shared" si="4"/>
        <v>445.21739130434787</v>
      </c>
      <c r="M62" s="118" t="s">
        <v>466</v>
      </c>
      <c r="N62" s="118">
        <v>12</v>
      </c>
      <c r="O62" s="118"/>
      <c r="P62" s="118"/>
      <c r="Q62" s="106" t="s">
        <v>493</v>
      </c>
      <c r="R62" s="106"/>
      <c r="S62" s="106"/>
      <c r="T62" s="106"/>
      <c r="U62" s="106"/>
      <c r="V62" s="106"/>
      <c r="W62" s="106"/>
      <c r="X62" s="106"/>
      <c r="Y62" s="106"/>
      <c r="Z62" s="106"/>
      <c r="AA62" s="106"/>
    </row>
    <row r="63" spans="1:27" x14ac:dyDescent="0.25">
      <c r="A63" s="112">
        <v>46130</v>
      </c>
      <c r="B63" s="112" t="str">
        <f t="shared" si="0"/>
        <v>2026</v>
      </c>
      <c r="C63" s="112" t="str">
        <f t="shared" si="1"/>
        <v>April</v>
      </c>
      <c r="D63" s="121">
        <v>1</v>
      </c>
      <c r="E63" s="97" t="s">
        <v>432</v>
      </c>
      <c r="F63" s="97">
        <v>8</v>
      </c>
      <c r="G63">
        <v>6.2</v>
      </c>
      <c r="H63" s="115">
        <f t="shared" si="2"/>
        <v>0.77500000000000002</v>
      </c>
      <c r="I63" s="116">
        <v>12.7</v>
      </c>
      <c r="J63" s="114">
        <v>206</v>
      </c>
      <c r="K63" s="117">
        <f t="shared" si="3"/>
        <v>2616.1999999999998</v>
      </c>
      <c r="L63" s="117">
        <f t="shared" si="4"/>
        <v>421.96774193548384</v>
      </c>
      <c r="M63" s="118" t="s">
        <v>441</v>
      </c>
      <c r="N63" s="118">
        <v>8</v>
      </c>
      <c r="O63" s="118"/>
      <c r="P63" s="118"/>
      <c r="Q63" s="106" t="s">
        <v>370</v>
      </c>
      <c r="R63" s="106"/>
      <c r="S63" s="106"/>
      <c r="T63" s="106"/>
      <c r="U63" s="106"/>
      <c r="V63" s="106"/>
      <c r="W63" s="106"/>
      <c r="X63" s="106"/>
      <c r="Y63" s="106"/>
      <c r="Z63" s="106"/>
      <c r="AA63" s="106"/>
    </row>
    <row r="64" spans="1:27" x14ac:dyDescent="0.25">
      <c r="A64" s="112">
        <v>46132</v>
      </c>
      <c r="B64" s="112" t="str">
        <f t="shared" si="0"/>
        <v>2026</v>
      </c>
      <c r="C64" s="112" t="str">
        <f t="shared" si="1"/>
        <v>April</v>
      </c>
      <c r="D64" s="121">
        <v>2</v>
      </c>
      <c r="E64" s="97" t="s">
        <v>432</v>
      </c>
      <c r="F64" s="97">
        <v>12</v>
      </c>
      <c r="G64">
        <v>10.8</v>
      </c>
      <c r="H64" s="115">
        <f t="shared" si="2"/>
        <v>0.9</v>
      </c>
      <c r="I64" s="116">
        <v>12.3</v>
      </c>
      <c r="J64" s="114">
        <v>392</v>
      </c>
      <c r="K64" s="117">
        <v>4821</v>
      </c>
      <c r="L64" s="117">
        <f t="shared" si="4"/>
        <v>446.38888888888886</v>
      </c>
      <c r="M64" s="118" t="s">
        <v>466</v>
      </c>
      <c r="N64" s="118">
        <v>12</v>
      </c>
      <c r="O64" s="118"/>
      <c r="P64" s="118"/>
      <c r="Q64" s="106" t="s">
        <v>370</v>
      </c>
      <c r="R64" s="106"/>
      <c r="S64" s="106"/>
      <c r="T64" s="106"/>
      <c r="U64" s="106"/>
      <c r="V64" s="106"/>
      <c r="W64" s="106"/>
      <c r="X64" s="106"/>
      <c r="Y64" s="106"/>
      <c r="Z64" s="106"/>
      <c r="AA64" s="106"/>
    </row>
    <row r="65" spans="1:27" x14ac:dyDescent="0.25">
      <c r="A65" s="112">
        <v>46133</v>
      </c>
      <c r="B65" s="112" t="str">
        <f t="shared" si="0"/>
        <v>2026</v>
      </c>
      <c r="C65" s="112" t="str">
        <f t="shared" si="1"/>
        <v>April</v>
      </c>
      <c r="D65" s="121">
        <v>2</v>
      </c>
      <c r="E65" s="97" t="s">
        <v>432</v>
      </c>
      <c r="F65" s="97">
        <v>12</v>
      </c>
      <c r="G65">
        <v>4.2</v>
      </c>
      <c r="H65" s="115">
        <f t="shared" si="2"/>
        <v>0.35000000000000003</v>
      </c>
      <c r="I65" s="116">
        <v>11.4</v>
      </c>
      <c r="J65" s="114">
        <v>146</v>
      </c>
      <c r="K65" s="117">
        <f t="shared" si="3"/>
        <v>1664.4</v>
      </c>
      <c r="L65" s="117">
        <f t="shared" si="4"/>
        <v>396.28571428571428</v>
      </c>
      <c r="M65" s="118" t="s">
        <v>466</v>
      </c>
      <c r="N65" s="118">
        <v>12</v>
      </c>
      <c r="O65" s="118"/>
      <c r="P65" s="118"/>
      <c r="Q65" s="106" t="s">
        <v>494</v>
      </c>
      <c r="R65" s="106"/>
      <c r="S65" s="106"/>
      <c r="T65" s="106"/>
      <c r="U65" s="106"/>
      <c r="V65" s="106"/>
      <c r="W65" s="106"/>
      <c r="X65" s="106"/>
      <c r="Y65" s="106"/>
      <c r="Z65" s="106"/>
      <c r="AA65" s="106"/>
    </row>
    <row r="66" spans="1:27" x14ac:dyDescent="0.25">
      <c r="A66" s="112">
        <v>46134</v>
      </c>
      <c r="B66" s="112" t="str">
        <f t="shared" si="0"/>
        <v>2026</v>
      </c>
      <c r="C66" s="112" t="str">
        <f t="shared" si="1"/>
        <v>April</v>
      </c>
      <c r="D66" s="121">
        <v>2</v>
      </c>
      <c r="E66" s="97" t="s">
        <v>432</v>
      </c>
      <c r="F66" s="97">
        <v>12</v>
      </c>
      <c r="G66">
        <v>10.4</v>
      </c>
      <c r="H66" s="115">
        <f t="shared" si="2"/>
        <v>0.8666666666666667</v>
      </c>
      <c r="I66" s="116">
        <v>11.6</v>
      </c>
      <c r="J66" s="114">
        <v>407</v>
      </c>
      <c r="K66" s="117">
        <f t="shared" si="3"/>
        <v>4721.2</v>
      </c>
      <c r="L66" s="117">
        <f t="shared" si="4"/>
        <v>453.96153846153845</v>
      </c>
      <c r="M66" s="118" t="s">
        <v>466</v>
      </c>
      <c r="N66" s="118">
        <v>12</v>
      </c>
      <c r="O66" s="118"/>
      <c r="P66" s="118"/>
      <c r="Q66" s="106" t="s">
        <v>370</v>
      </c>
      <c r="R66" s="106"/>
      <c r="S66" s="106"/>
      <c r="T66" s="106"/>
      <c r="U66" s="106"/>
      <c r="V66" s="106"/>
      <c r="W66" s="106"/>
      <c r="X66" s="106"/>
      <c r="Y66" s="106"/>
      <c r="Z66" s="106"/>
      <c r="AA66" s="106"/>
    </row>
    <row r="67" spans="1:27" x14ac:dyDescent="0.25">
      <c r="A67" s="112">
        <v>46135</v>
      </c>
      <c r="B67" s="112" t="str">
        <f t="shared" si="0"/>
        <v>2026</v>
      </c>
      <c r="C67" s="112" t="str">
        <f t="shared" si="1"/>
        <v>April</v>
      </c>
      <c r="D67" s="121">
        <v>2</v>
      </c>
      <c r="E67" s="97" t="s">
        <v>432</v>
      </c>
      <c r="F67" s="97">
        <v>12</v>
      </c>
      <c r="G67">
        <v>10.7</v>
      </c>
      <c r="H67" s="115">
        <f t="shared" si="2"/>
        <v>0.89166666666666661</v>
      </c>
      <c r="I67" s="116">
        <v>12.1</v>
      </c>
      <c r="J67" s="114">
        <v>408</v>
      </c>
      <c r="K67" s="117">
        <f t="shared" si="3"/>
        <v>4936.8</v>
      </c>
      <c r="L67" s="117">
        <f t="shared" si="4"/>
        <v>461.38317757009349</v>
      </c>
      <c r="M67" s="118" t="s">
        <v>466</v>
      </c>
      <c r="N67" s="118">
        <v>12</v>
      </c>
      <c r="O67" s="118"/>
      <c r="P67" s="118"/>
      <c r="Q67" s="106" t="s">
        <v>370</v>
      </c>
      <c r="R67" s="106"/>
      <c r="S67" s="106"/>
      <c r="T67" s="106"/>
      <c r="U67" s="106"/>
      <c r="V67" s="106"/>
      <c r="W67" s="106"/>
      <c r="X67" s="106"/>
      <c r="Y67" s="106"/>
      <c r="Z67" s="106"/>
      <c r="AA67" s="106"/>
    </row>
    <row r="68" spans="1:27" x14ac:dyDescent="0.25">
      <c r="A68" s="112">
        <v>46136</v>
      </c>
      <c r="B68" s="112" t="str">
        <f t="shared" ref="B68:B70" si="5">TEXT(A68,"YYYY")</f>
        <v>2026</v>
      </c>
      <c r="C68" s="112" t="str">
        <f t="shared" ref="C68:C70" si="6">TEXT(A68,"MMMM")</f>
        <v>April</v>
      </c>
      <c r="D68" s="121">
        <v>2</v>
      </c>
      <c r="E68" s="97" t="s">
        <v>432</v>
      </c>
      <c r="F68" s="97">
        <v>12</v>
      </c>
      <c r="G68">
        <v>9.4</v>
      </c>
      <c r="H68" s="115">
        <f t="shared" si="2"/>
        <v>0.78333333333333333</v>
      </c>
      <c r="I68" s="116">
        <v>12.1</v>
      </c>
      <c r="J68" s="114">
        <v>344</v>
      </c>
      <c r="K68" s="117">
        <f t="shared" si="3"/>
        <v>4162.3999999999996</v>
      </c>
      <c r="L68" s="117">
        <f t="shared" si="4"/>
        <v>442.80851063829783</v>
      </c>
      <c r="M68" s="118" t="s">
        <v>466</v>
      </c>
      <c r="N68" s="118">
        <v>12</v>
      </c>
      <c r="O68" s="118"/>
      <c r="P68" s="118"/>
      <c r="Q68" s="106" t="s">
        <v>370</v>
      </c>
      <c r="R68" s="106"/>
      <c r="S68" s="106"/>
      <c r="T68" s="106"/>
      <c r="U68" s="106"/>
      <c r="V68" s="106"/>
      <c r="W68" s="106"/>
      <c r="X68" s="106"/>
      <c r="Y68" s="106"/>
      <c r="Z68" s="106"/>
      <c r="AA68" s="106"/>
    </row>
    <row r="69" spans="1:27" x14ac:dyDescent="0.25">
      <c r="A69" s="112">
        <v>46137</v>
      </c>
      <c r="B69" s="112" t="str">
        <f t="shared" si="5"/>
        <v>2026</v>
      </c>
      <c r="C69" s="112" t="str">
        <f t="shared" si="6"/>
        <v>April</v>
      </c>
      <c r="D69" s="121">
        <v>1</v>
      </c>
      <c r="E69" s="97" t="s">
        <v>432</v>
      </c>
      <c r="F69" s="97">
        <v>2.5</v>
      </c>
      <c r="G69">
        <v>2.5</v>
      </c>
      <c r="H69" s="115">
        <f t="shared" si="2"/>
        <v>1</v>
      </c>
      <c r="I69" s="116">
        <v>12.9</v>
      </c>
      <c r="J69" s="114">
        <v>91</v>
      </c>
      <c r="K69" s="117">
        <f t="shared" si="3"/>
        <v>1173.9000000000001</v>
      </c>
      <c r="L69" s="117">
        <f t="shared" si="4"/>
        <v>469.56000000000006</v>
      </c>
      <c r="M69" s="118" t="s">
        <v>453</v>
      </c>
      <c r="N69" s="118">
        <v>10</v>
      </c>
      <c r="O69" s="118"/>
      <c r="P69" s="118"/>
      <c r="Q69" s="106" t="s">
        <v>495</v>
      </c>
      <c r="R69" s="106"/>
      <c r="S69" s="106"/>
      <c r="T69" s="106"/>
      <c r="U69" s="106"/>
      <c r="V69" s="106"/>
      <c r="W69" s="106"/>
      <c r="X69" s="106"/>
      <c r="Y69" s="106"/>
      <c r="Z69" s="106"/>
      <c r="AA69" s="106"/>
    </row>
    <row r="70" spans="1:27" x14ac:dyDescent="0.25">
      <c r="A70" s="112">
        <v>46137</v>
      </c>
      <c r="B70" s="112" t="str">
        <f t="shared" si="5"/>
        <v>2026</v>
      </c>
      <c r="C70" s="112" t="str">
        <f t="shared" si="6"/>
        <v>April</v>
      </c>
      <c r="D70" s="121">
        <v>2</v>
      </c>
      <c r="E70" s="97" t="s">
        <v>432</v>
      </c>
      <c r="F70" s="97">
        <v>12</v>
      </c>
      <c r="H70" s="115">
        <f t="shared" si="2"/>
        <v>0</v>
      </c>
      <c r="I70" s="116">
        <v>13.5</v>
      </c>
      <c r="J70" s="114"/>
      <c r="K70" s="117">
        <v>2340</v>
      </c>
      <c r="L70" s="117" t="str">
        <f t="shared" si="4"/>
        <v/>
      </c>
      <c r="M70" s="118"/>
      <c r="N70" s="118">
        <v>12</v>
      </c>
      <c r="O70" s="118"/>
      <c r="P70" s="118"/>
      <c r="Q70" s="106" t="s">
        <v>496</v>
      </c>
      <c r="R70" s="106"/>
      <c r="S70" s="106"/>
      <c r="T70" s="106"/>
      <c r="U70" s="106"/>
      <c r="V70" s="106"/>
      <c r="W70" s="106"/>
      <c r="X70" s="106"/>
      <c r="Y70" s="106"/>
      <c r="Z70" s="106"/>
      <c r="AA70" s="10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D0F2-8759-45BF-A5E2-954384AEB8BD}">
  <dimension ref="A1:AU419"/>
  <sheetViews>
    <sheetView workbookViewId="0">
      <pane ySplit="1" topLeftCell="A192" activePane="bottomLeft" state="frozen"/>
      <selection pane="bottomLeft" activeCell="H220" sqref="H220"/>
    </sheetView>
  </sheetViews>
  <sheetFormatPr defaultRowHeight="15" x14ac:dyDescent="0.25"/>
  <cols>
    <col min="1" max="1" width="11.42578125" style="3" bestFit="1" customWidth="1"/>
    <col min="2" max="2" width="10" customWidth="1"/>
  </cols>
  <sheetData>
    <row r="1" spans="1:45" ht="60" x14ac:dyDescent="0.25">
      <c r="A1" s="22" t="s">
        <v>9</v>
      </c>
      <c r="B1" s="4" t="s">
        <v>3</v>
      </c>
      <c r="C1" s="4" t="s">
        <v>4</v>
      </c>
      <c r="D1" s="4" t="s">
        <v>400</v>
      </c>
      <c r="E1" s="5" t="s">
        <v>10</v>
      </c>
      <c r="F1" s="4" t="s">
        <v>11</v>
      </c>
      <c r="G1" s="4" t="s">
        <v>12</v>
      </c>
      <c r="H1" s="6" t="s">
        <v>13</v>
      </c>
      <c r="I1" s="6" t="s">
        <v>13</v>
      </c>
      <c r="J1" s="6" t="s">
        <v>14</v>
      </c>
      <c r="K1" s="86" t="s">
        <v>399</v>
      </c>
      <c r="L1" s="7" t="s">
        <v>15</v>
      </c>
      <c r="M1" s="7" t="s">
        <v>16</v>
      </c>
      <c r="N1" s="7" t="s">
        <v>17</v>
      </c>
      <c r="O1" s="86" t="s">
        <v>316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7" t="s">
        <v>23</v>
      </c>
      <c r="V1" s="7" t="s">
        <v>24</v>
      </c>
      <c r="W1" s="7" t="s">
        <v>25</v>
      </c>
      <c r="X1" s="6" t="s">
        <v>6</v>
      </c>
      <c r="Y1" s="8" t="s">
        <v>2</v>
      </c>
      <c r="Z1" s="8" t="s">
        <v>7</v>
      </c>
      <c r="AA1" s="8" t="s">
        <v>317</v>
      </c>
      <c r="AB1" s="8" t="s">
        <v>318</v>
      </c>
      <c r="AC1" s="4" t="s">
        <v>19</v>
      </c>
      <c r="AD1" s="4" t="s">
        <v>8</v>
      </c>
      <c r="AE1" s="9" t="s">
        <v>300</v>
      </c>
      <c r="AF1" s="9" t="s">
        <v>319</v>
      </c>
      <c r="AG1" s="9" t="s">
        <v>320</v>
      </c>
      <c r="AH1" s="9" t="s">
        <v>321</v>
      </c>
      <c r="AI1" s="9" t="s">
        <v>322</v>
      </c>
      <c r="AJ1" s="9" t="s">
        <v>323</v>
      </c>
      <c r="AK1" s="9" t="s">
        <v>324</v>
      </c>
      <c r="AL1" s="9" t="s">
        <v>401</v>
      </c>
      <c r="AM1" s="8" t="s">
        <v>26</v>
      </c>
      <c r="AN1" s="4" t="s">
        <v>5</v>
      </c>
      <c r="AO1" s="4" t="s">
        <v>27</v>
      </c>
      <c r="AP1" s="4" t="s">
        <v>22</v>
      </c>
      <c r="AQ1" s="8" t="s">
        <v>28</v>
      </c>
      <c r="AR1" s="4" t="s">
        <v>29</v>
      </c>
      <c r="AS1" s="4" t="s">
        <v>30</v>
      </c>
    </row>
    <row r="2" spans="1:45" x14ac:dyDescent="0.25">
      <c r="A2" s="22">
        <v>45294</v>
      </c>
      <c r="B2" s="10" t="str">
        <f t="shared" ref="B2:B33" si="0">TEXT(A2,"YYYY")</f>
        <v>2024</v>
      </c>
      <c r="C2" s="10" t="str">
        <f t="shared" ref="C2:C33" si="1">TEXT(A2,"MMMM")</f>
        <v>January</v>
      </c>
      <c r="D2" s="10"/>
      <c r="E2" s="11">
        <v>246</v>
      </c>
      <c r="F2" s="12">
        <f>E2*12</f>
        <v>2952</v>
      </c>
      <c r="G2" s="14" t="s">
        <v>31</v>
      </c>
      <c r="H2" s="6">
        <v>407</v>
      </c>
      <c r="I2" s="6">
        <v>57</v>
      </c>
      <c r="J2" s="6">
        <f t="shared" ref="J2:J33" si="2">L2+N2</f>
        <v>1618</v>
      </c>
      <c r="K2" s="6"/>
      <c r="L2" s="6">
        <v>980</v>
      </c>
      <c r="M2" s="6"/>
      <c r="N2" s="6">
        <v>638</v>
      </c>
      <c r="O2" s="6"/>
      <c r="P2" s="6">
        <v>1050</v>
      </c>
      <c r="Q2" s="6">
        <v>390</v>
      </c>
      <c r="R2" s="6">
        <v>0</v>
      </c>
      <c r="S2" s="6"/>
      <c r="T2" s="6"/>
      <c r="U2" s="14" t="s">
        <v>148</v>
      </c>
      <c r="V2" s="14"/>
      <c r="W2" s="6">
        <v>7</v>
      </c>
      <c r="X2" s="6">
        <v>6</v>
      </c>
      <c r="Y2" s="15">
        <f t="shared" ref="Y2:Y33" si="3">SUM(X2)/(W2*X$2)</f>
        <v>0.14285714285714285</v>
      </c>
      <c r="Z2" s="16">
        <f t="shared" ref="Z2:Z33" si="4">X2/W2</f>
        <v>0.8571428571428571</v>
      </c>
      <c r="AA2" s="16"/>
      <c r="AB2" s="16"/>
      <c r="AC2" s="13">
        <f t="shared" ref="AC2:AC33" si="5">Q2/X2</f>
        <v>65</v>
      </c>
      <c r="AD2" s="13">
        <f t="shared" ref="AD2:AD33" si="6">H2/X2</f>
        <v>67.833333333333329</v>
      </c>
      <c r="AE2" s="13">
        <f t="shared" ref="AE2:AE33" si="7">J2/X2</f>
        <v>269.66666666666669</v>
      </c>
      <c r="AF2" s="12"/>
      <c r="AG2" s="12">
        <f t="shared" ref="AG2:AG60" si="8">IF(X2="","",IF(X2=0,"",N2/X2))</f>
        <v>106.33333333333333</v>
      </c>
      <c r="AH2" s="12">
        <f t="shared" ref="AH2:AH65" si="9">IF(X2="","",IF(X2=0,"",O2/X2))</f>
        <v>0</v>
      </c>
      <c r="AI2" s="12">
        <f t="shared" ref="AI2:AI65" si="10">IF(X2="","",IF(X2=0,"",M2/F2))</f>
        <v>0</v>
      </c>
      <c r="AJ2" s="12">
        <f t="shared" ref="AJ2:AJ65" si="11">IF(X2="","",IF(X2=0,"",N2/F2))</f>
        <v>0.21612466124661248</v>
      </c>
      <c r="AK2" s="12">
        <f t="shared" ref="AK2:AK65" si="12">IF(X2="","",IF(X2=0,"",O2/F2))</f>
        <v>0</v>
      </c>
      <c r="AL2" s="12">
        <f t="shared" ref="AL2:AL65" si="13">AI2+AJ2+AK2</f>
        <v>0.21612466124661248</v>
      </c>
      <c r="AM2" s="13">
        <f t="shared" ref="AM2:AM33" si="14">R2/X2</f>
        <v>0</v>
      </c>
      <c r="AN2" s="13">
        <f t="shared" ref="AN2:AN33" si="15">P2/X2</f>
        <v>175</v>
      </c>
      <c r="AO2" s="13"/>
      <c r="AP2" s="13"/>
      <c r="AQ2" s="12">
        <f t="shared" ref="AQ2:AQ33" si="16">R2+Q2+P2+J2+H2</f>
        <v>3465</v>
      </c>
      <c r="AR2" s="13">
        <f t="shared" ref="AR2:AR19" si="17">AN2+AM2+AE2+AD2+AC2</f>
        <v>577.5</v>
      </c>
      <c r="AS2" s="20"/>
    </row>
    <row r="3" spans="1:45" x14ac:dyDescent="0.25">
      <c r="A3" s="23">
        <v>45295</v>
      </c>
      <c r="B3" s="10" t="str">
        <f t="shared" si="0"/>
        <v>2024</v>
      </c>
      <c r="C3" s="10" t="str">
        <f t="shared" si="1"/>
        <v>January</v>
      </c>
      <c r="D3" s="10"/>
      <c r="E3" s="11">
        <v>336</v>
      </c>
      <c r="F3" s="12">
        <f>E3*12.5</f>
        <v>4200</v>
      </c>
      <c r="G3" s="14" t="s">
        <v>31</v>
      </c>
      <c r="H3" s="6">
        <v>458</v>
      </c>
      <c r="I3" s="6">
        <v>57</v>
      </c>
      <c r="J3" s="6">
        <f t="shared" si="2"/>
        <v>1312</v>
      </c>
      <c r="K3" s="6"/>
      <c r="L3" s="6">
        <v>1312</v>
      </c>
      <c r="M3" s="6"/>
      <c r="N3" s="6">
        <v>0</v>
      </c>
      <c r="O3" s="6"/>
      <c r="P3" s="6">
        <v>1190</v>
      </c>
      <c r="Q3" s="6">
        <v>442</v>
      </c>
      <c r="R3" s="6">
        <v>1091</v>
      </c>
      <c r="S3" s="6"/>
      <c r="T3" s="6"/>
      <c r="U3" s="14" t="s">
        <v>149</v>
      </c>
      <c r="V3" s="14"/>
      <c r="W3" s="6">
        <v>7.8</v>
      </c>
      <c r="X3" s="6">
        <v>6.8</v>
      </c>
      <c r="Y3" s="15">
        <f t="shared" si="3"/>
        <v>0.14529914529914531</v>
      </c>
      <c r="Z3" s="16">
        <f t="shared" si="4"/>
        <v>0.87179487179487181</v>
      </c>
      <c r="AA3" s="16"/>
      <c r="AB3" s="16"/>
      <c r="AC3" s="13">
        <f t="shared" si="5"/>
        <v>65</v>
      </c>
      <c r="AD3" s="13">
        <f t="shared" si="6"/>
        <v>67.352941176470594</v>
      </c>
      <c r="AE3" s="13">
        <f t="shared" si="7"/>
        <v>192.94117647058823</v>
      </c>
      <c r="AF3" s="12"/>
      <c r="AG3" s="12"/>
      <c r="AH3" s="12">
        <f t="shared" si="9"/>
        <v>0</v>
      </c>
      <c r="AI3" s="12">
        <f t="shared" si="10"/>
        <v>0</v>
      </c>
      <c r="AJ3" s="12">
        <f t="shared" si="11"/>
        <v>0</v>
      </c>
      <c r="AK3" s="12">
        <f t="shared" si="12"/>
        <v>0</v>
      </c>
      <c r="AL3" s="12">
        <f t="shared" si="13"/>
        <v>0</v>
      </c>
      <c r="AM3" s="13">
        <f t="shared" si="14"/>
        <v>160.44117647058823</v>
      </c>
      <c r="AN3" s="13">
        <f t="shared" si="15"/>
        <v>175</v>
      </c>
      <c r="AO3" s="13"/>
      <c r="AP3" s="13"/>
      <c r="AQ3" s="12">
        <f t="shared" si="16"/>
        <v>4493</v>
      </c>
      <c r="AR3" s="13">
        <f t="shared" si="17"/>
        <v>660.73529411764707</v>
      </c>
      <c r="AS3" s="21" t="s">
        <v>150</v>
      </c>
    </row>
    <row r="4" spans="1:45" x14ac:dyDescent="0.25">
      <c r="A4" s="23">
        <v>45309</v>
      </c>
      <c r="B4" s="10" t="str">
        <f t="shared" si="0"/>
        <v>2024</v>
      </c>
      <c r="C4" s="10" t="str">
        <f t="shared" si="1"/>
        <v>January</v>
      </c>
      <c r="D4" s="10"/>
      <c r="E4" s="11">
        <v>310</v>
      </c>
      <c r="F4" s="12">
        <f t="shared" ref="F4:F35" si="18">E4*12</f>
        <v>3720</v>
      </c>
      <c r="G4" s="14" t="s">
        <v>31</v>
      </c>
      <c r="H4" s="6">
        <v>634</v>
      </c>
      <c r="I4" s="6">
        <v>57</v>
      </c>
      <c r="J4" s="6">
        <f t="shared" si="2"/>
        <v>2368</v>
      </c>
      <c r="K4" s="6"/>
      <c r="L4" s="6">
        <v>1691</v>
      </c>
      <c r="M4" s="6"/>
      <c r="N4" s="6">
        <v>677</v>
      </c>
      <c r="O4" s="6"/>
      <c r="P4" s="6">
        <v>1365</v>
      </c>
      <c r="Q4" s="6">
        <v>0</v>
      </c>
      <c r="R4" s="6">
        <v>0</v>
      </c>
      <c r="S4" s="6"/>
      <c r="T4" s="6"/>
      <c r="U4" s="14" t="s">
        <v>149</v>
      </c>
      <c r="V4" s="14"/>
      <c r="W4" s="6">
        <v>9</v>
      </c>
      <c r="X4" s="6">
        <v>7.8</v>
      </c>
      <c r="Y4" s="15">
        <f t="shared" si="3"/>
        <v>0.14444444444444443</v>
      </c>
      <c r="Z4" s="16">
        <f t="shared" si="4"/>
        <v>0.8666666666666667</v>
      </c>
      <c r="AA4" s="16"/>
      <c r="AB4" s="16"/>
      <c r="AC4" s="13">
        <f t="shared" si="5"/>
        <v>0</v>
      </c>
      <c r="AD4" s="13">
        <f t="shared" si="6"/>
        <v>81.282051282051285</v>
      </c>
      <c r="AE4" s="13">
        <f t="shared" si="7"/>
        <v>303.58974358974359</v>
      </c>
      <c r="AF4" s="12"/>
      <c r="AG4" s="12">
        <f t="shared" si="8"/>
        <v>86.794871794871796</v>
      </c>
      <c r="AH4" s="12">
        <f t="shared" si="9"/>
        <v>0</v>
      </c>
      <c r="AI4" s="12">
        <f t="shared" si="10"/>
        <v>0</v>
      </c>
      <c r="AJ4" s="12">
        <f t="shared" si="11"/>
        <v>0.18198924731182795</v>
      </c>
      <c r="AK4" s="12">
        <f t="shared" si="12"/>
        <v>0</v>
      </c>
      <c r="AL4" s="12">
        <f t="shared" si="13"/>
        <v>0.18198924731182795</v>
      </c>
      <c r="AM4" s="13">
        <f t="shared" si="14"/>
        <v>0</v>
      </c>
      <c r="AN4" s="13">
        <f t="shared" si="15"/>
        <v>175</v>
      </c>
      <c r="AO4" s="13"/>
      <c r="AP4" s="13"/>
      <c r="AQ4" s="12">
        <f t="shared" si="16"/>
        <v>4367</v>
      </c>
      <c r="AR4" s="13">
        <f t="shared" si="17"/>
        <v>559.87179487179492</v>
      </c>
      <c r="AS4" s="21" t="s">
        <v>151</v>
      </c>
    </row>
    <row r="5" spans="1:45" x14ac:dyDescent="0.25">
      <c r="A5" s="23">
        <v>45321</v>
      </c>
      <c r="B5" s="10" t="str">
        <f t="shared" si="0"/>
        <v>2024</v>
      </c>
      <c r="C5" s="10" t="str">
        <f t="shared" si="1"/>
        <v>January</v>
      </c>
      <c r="D5" s="10"/>
      <c r="E5" s="11">
        <v>183</v>
      </c>
      <c r="F5" s="12">
        <f t="shared" si="18"/>
        <v>2196</v>
      </c>
      <c r="G5" s="14" t="s">
        <v>31</v>
      </c>
      <c r="H5" s="6">
        <v>320</v>
      </c>
      <c r="I5" s="6">
        <v>57</v>
      </c>
      <c r="J5" s="6">
        <f t="shared" si="2"/>
        <v>1005</v>
      </c>
      <c r="K5" s="6"/>
      <c r="L5" s="6">
        <v>957</v>
      </c>
      <c r="M5" s="6"/>
      <c r="N5" s="6">
        <v>48</v>
      </c>
      <c r="O5" s="6"/>
      <c r="P5" s="6">
        <v>857</v>
      </c>
      <c r="Q5" s="6">
        <v>0</v>
      </c>
      <c r="R5" s="6">
        <v>714</v>
      </c>
      <c r="S5" s="6"/>
      <c r="T5" s="6"/>
      <c r="U5" s="14" t="s">
        <v>40</v>
      </c>
      <c r="V5" s="14"/>
      <c r="W5" s="6">
        <v>6</v>
      </c>
      <c r="X5" s="6">
        <v>4.9000000000000004</v>
      </c>
      <c r="Y5" s="15">
        <f t="shared" si="3"/>
        <v>0.13611111111111113</v>
      </c>
      <c r="Z5" s="16">
        <f t="shared" si="4"/>
        <v>0.81666666666666676</v>
      </c>
      <c r="AA5" s="16"/>
      <c r="AB5" s="16"/>
      <c r="AC5" s="13">
        <f t="shared" si="5"/>
        <v>0</v>
      </c>
      <c r="AD5" s="13">
        <f t="shared" si="6"/>
        <v>65.306122448979593</v>
      </c>
      <c r="AE5" s="13">
        <f t="shared" si="7"/>
        <v>205.10204081632651</v>
      </c>
      <c r="AF5" s="12"/>
      <c r="AG5" s="12"/>
      <c r="AH5" s="12">
        <f t="shared" si="9"/>
        <v>0</v>
      </c>
      <c r="AI5" s="12">
        <f t="shared" si="10"/>
        <v>0</v>
      </c>
      <c r="AJ5" s="12">
        <f t="shared" si="11"/>
        <v>2.185792349726776E-2</v>
      </c>
      <c r="AK5" s="12">
        <f t="shared" si="12"/>
        <v>0</v>
      </c>
      <c r="AL5" s="12">
        <f t="shared" si="13"/>
        <v>2.185792349726776E-2</v>
      </c>
      <c r="AM5" s="13">
        <f t="shared" si="14"/>
        <v>145.71428571428569</v>
      </c>
      <c r="AN5" s="13">
        <f t="shared" si="15"/>
        <v>174.89795918367346</v>
      </c>
      <c r="AO5" s="13"/>
      <c r="AP5" s="13"/>
      <c r="AQ5" s="12">
        <f t="shared" si="16"/>
        <v>2896</v>
      </c>
      <c r="AR5" s="13">
        <f t="shared" si="17"/>
        <v>591.0204081632653</v>
      </c>
      <c r="AS5" s="21" t="s">
        <v>152</v>
      </c>
    </row>
    <row r="6" spans="1:45" x14ac:dyDescent="0.25">
      <c r="A6" s="23">
        <v>45322</v>
      </c>
      <c r="B6" s="10" t="str">
        <f t="shared" si="0"/>
        <v>2024</v>
      </c>
      <c r="C6" s="10" t="str">
        <f t="shared" si="1"/>
        <v>January</v>
      </c>
      <c r="D6" s="10"/>
      <c r="E6" s="11">
        <v>288</v>
      </c>
      <c r="F6" s="12">
        <f t="shared" si="18"/>
        <v>3456</v>
      </c>
      <c r="G6" s="14" t="s">
        <v>31</v>
      </c>
      <c r="H6" s="6">
        <v>844</v>
      </c>
      <c r="I6" s="6">
        <v>57</v>
      </c>
      <c r="J6" s="6">
        <f t="shared" si="2"/>
        <v>1662</v>
      </c>
      <c r="K6" s="6"/>
      <c r="L6" s="6">
        <v>1642</v>
      </c>
      <c r="M6" s="6"/>
      <c r="N6" s="6">
        <v>20</v>
      </c>
      <c r="O6" s="6"/>
      <c r="P6" s="6">
        <v>1295</v>
      </c>
      <c r="Q6" s="6">
        <v>0</v>
      </c>
      <c r="R6" s="6">
        <v>1231</v>
      </c>
      <c r="S6" s="6"/>
      <c r="T6" s="6"/>
      <c r="U6" s="14" t="s">
        <v>40</v>
      </c>
      <c r="V6" s="14"/>
      <c r="W6" s="6">
        <v>9</v>
      </c>
      <c r="X6" s="6">
        <v>7.4</v>
      </c>
      <c r="Y6" s="15">
        <f t="shared" si="3"/>
        <v>0.13703703703703704</v>
      </c>
      <c r="Z6" s="16">
        <f t="shared" si="4"/>
        <v>0.8222222222222223</v>
      </c>
      <c r="AA6" s="16"/>
      <c r="AB6" s="16"/>
      <c r="AC6" s="13">
        <f t="shared" si="5"/>
        <v>0</v>
      </c>
      <c r="AD6" s="13">
        <f t="shared" si="6"/>
        <v>114.05405405405405</v>
      </c>
      <c r="AE6" s="13">
        <f t="shared" si="7"/>
        <v>224.59459459459458</v>
      </c>
      <c r="AF6" s="12"/>
      <c r="AG6" s="12"/>
      <c r="AH6" s="12">
        <f t="shared" si="9"/>
        <v>0</v>
      </c>
      <c r="AI6" s="12">
        <f t="shared" si="10"/>
        <v>0</v>
      </c>
      <c r="AJ6" s="12">
        <f t="shared" si="11"/>
        <v>5.7870370370370367E-3</v>
      </c>
      <c r="AK6" s="12">
        <f t="shared" si="12"/>
        <v>0</v>
      </c>
      <c r="AL6" s="12">
        <f t="shared" si="13"/>
        <v>5.7870370370370367E-3</v>
      </c>
      <c r="AM6" s="13">
        <f t="shared" si="14"/>
        <v>166.35135135135135</v>
      </c>
      <c r="AN6" s="13">
        <f t="shared" si="15"/>
        <v>175</v>
      </c>
      <c r="AO6" s="13"/>
      <c r="AP6" s="13"/>
      <c r="AQ6" s="12">
        <f t="shared" si="16"/>
        <v>5032</v>
      </c>
      <c r="AR6" s="13">
        <f t="shared" si="17"/>
        <v>680</v>
      </c>
      <c r="AS6" s="21" t="s">
        <v>153</v>
      </c>
    </row>
    <row r="7" spans="1:45" x14ac:dyDescent="0.25">
      <c r="A7" s="23">
        <v>45323</v>
      </c>
      <c r="B7" s="10" t="str">
        <f t="shared" si="0"/>
        <v>2024</v>
      </c>
      <c r="C7" s="10" t="str">
        <f t="shared" si="1"/>
        <v>February</v>
      </c>
      <c r="D7" s="10"/>
      <c r="E7" s="11">
        <v>278</v>
      </c>
      <c r="F7" s="12">
        <f t="shared" si="18"/>
        <v>3336</v>
      </c>
      <c r="G7" s="14" t="s">
        <v>31</v>
      </c>
      <c r="H7" s="6">
        <v>452</v>
      </c>
      <c r="I7" s="6">
        <v>57</v>
      </c>
      <c r="J7" s="6">
        <f t="shared" si="2"/>
        <v>1502</v>
      </c>
      <c r="K7" s="6"/>
      <c r="L7" s="6">
        <v>1502</v>
      </c>
      <c r="M7" s="6"/>
      <c r="N7" s="6">
        <v>0</v>
      </c>
      <c r="O7" s="6"/>
      <c r="P7" s="6">
        <v>1137</v>
      </c>
      <c r="Q7" s="6">
        <v>0</v>
      </c>
      <c r="R7" s="6">
        <v>1304</v>
      </c>
      <c r="S7" s="6"/>
      <c r="T7" s="6"/>
      <c r="U7" s="14" t="s">
        <v>132</v>
      </c>
      <c r="V7" s="14"/>
      <c r="W7" s="6">
        <v>8</v>
      </c>
      <c r="X7" s="6">
        <v>6.5</v>
      </c>
      <c r="Y7" s="15">
        <f t="shared" si="3"/>
        <v>0.13541666666666666</v>
      </c>
      <c r="Z7" s="16">
        <f t="shared" si="4"/>
        <v>0.8125</v>
      </c>
      <c r="AA7" s="16"/>
      <c r="AB7" s="16"/>
      <c r="AC7" s="13">
        <f t="shared" si="5"/>
        <v>0</v>
      </c>
      <c r="AD7" s="13">
        <f t="shared" si="6"/>
        <v>69.538461538461533</v>
      </c>
      <c r="AE7" s="13">
        <f t="shared" si="7"/>
        <v>231.07692307692307</v>
      </c>
      <c r="AF7" s="12"/>
      <c r="AG7" s="12"/>
      <c r="AH7" s="12">
        <f t="shared" si="9"/>
        <v>0</v>
      </c>
      <c r="AI7" s="12">
        <f t="shared" si="10"/>
        <v>0</v>
      </c>
      <c r="AJ7" s="12">
        <f t="shared" si="11"/>
        <v>0</v>
      </c>
      <c r="AK7" s="12">
        <f t="shared" si="12"/>
        <v>0</v>
      </c>
      <c r="AL7" s="12">
        <f t="shared" si="13"/>
        <v>0</v>
      </c>
      <c r="AM7" s="13">
        <f t="shared" si="14"/>
        <v>200.61538461538461</v>
      </c>
      <c r="AN7" s="13">
        <f t="shared" si="15"/>
        <v>174.92307692307693</v>
      </c>
      <c r="AO7" s="13"/>
      <c r="AP7" s="13"/>
      <c r="AQ7" s="12">
        <f t="shared" si="16"/>
        <v>4395</v>
      </c>
      <c r="AR7" s="18">
        <f t="shared" si="17"/>
        <v>676.15384615384619</v>
      </c>
      <c r="AS7" s="21" t="s">
        <v>154</v>
      </c>
    </row>
    <row r="8" spans="1:45" x14ac:dyDescent="0.25">
      <c r="A8" s="22">
        <v>45324</v>
      </c>
      <c r="B8" s="10" t="str">
        <f t="shared" si="0"/>
        <v>2024</v>
      </c>
      <c r="C8" s="10" t="str">
        <f t="shared" si="1"/>
        <v>February</v>
      </c>
      <c r="D8" s="10"/>
      <c r="E8" s="11">
        <v>232</v>
      </c>
      <c r="F8" s="12">
        <f t="shared" si="18"/>
        <v>2784</v>
      </c>
      <c r="G8" s="14" t="s">
        <v>31</v>
      </c>
      <c r="H8" s="6">
        <v>244</v>
      </c>
      <c r="I8" s="6">
        <v>57</v>
      </c>
      <c r="J8" s="6">
        <f t="shared" si="2"/>
        <v>1288</v>
      </c>
      <c r="K8" s="6"/>
      <c r="L8" s="6">
        <v>1288</v>
      </c>
      <c r="M8" s="6"/>
      <c r="N8" s="6">
        <v>0</v>
      </c>
      <c r="O8" s="6"/>
      <c r="P8" s="6">
        <v>945</v>
      </c>
      <c r="Q8" s="6">
        <v>0</v>
      </c>
      <c r="R8" s="6">
        <v>999</v>
      </c>
      <c r="S8" s="6"/>
      <c r="T8" s="6"/>
      <c r="U8" s="14" t="s">
        <v>132</v>
      </c>
      <c r="V8" s="14"/>
      <c r="W8" s="6">
        <v>7</v>
      </c>
      <c r="X8" s="6">
        <v>5.4</v>
      </c>
      <c r="Y8" s="15">
        <f t="shared" si="3"/>
        <v>0.12857142857142859</v>
      </c>
      <c r="Z8" s="16">
        <f t="shared" si="4"/>
        <v>0.77142857142857146</v>
      </c>
      <c r="AA8" s="16"/>
      <c r="AB8" s="16"/>
      <c r="AC8" s="13">
        <f t="shared" si="5"/>
        <v>0</v>
      </c>
      <c r="AD8" s="13">
        <f t="shared" si="6"/>
        <v>45.185185185185183</v>
      </c>
      <c r="AE8" s="13">
        <f t="shared" si="7"/>
        <v>238.5185185185185</v>
      </c>
      <c r="AF8" s="12"/>
      <c r="AG8" s="12"/>
      <c r="AH8" s="12">
        <f t="shared" si="9"/>
        <v>0</v>
      </c>
      <c r="AI8" s="12">
        <f t="shared" si="10"/>
        <v>0</v>
      </c>
      <c r="AJ8" s="12">
        <f t="shared" si="11"/>
        <v>0</v>
      </c>
      <c r="AK8" s="12">
        <f t="shared" si="12"/>
        <v>0</v>
      </c>
      <c r="AL8" s="12">
        <f t="shared" si="13"/>
        <v>0</v>
      </c>
      <c r="AM8" s="13">
        <f t="shared" si="14"/>
        <v>185</v>
      </c>
      <c r="AN8" s="13">
        <f t="shared" si="15"/>
        <v>175</v>
      </c>
      <c r="AO8" s="13"/>
      <c r="AP8" s="13"/>
      <c r="AQ8" s="12">
        <f t="shared" si="16"/>
        <v>3476</v>
      </c>
      <c r="AR8" s="13">
        <f t="shared" si="17"/>
        <v>643.7037037037037</v>
      </c>
      <c r="AS8" s="93" t="s">
        <v>154</v>
      </c>
    </row>
    <row r="9" spans="1:45" x14ac:dyDescent="0.25">
      <c r="A9" s="22">
        <v>45327</v>
      </c>
      <c r="B9" s="10" t="str">
        <f t="shared" si="0"/>
        <v>2024</v>
      </c>
      <c r="C9" s="10" t="str">
        <f t="shared" si="1"/>
        <v>February</v>
      </c>
      <c r="D9" s="10"/>
      <c r="E9" s="11">
        <v>156</v>
      </c>
      <c r="F9" s="12">
        <f t="shared" si="18"/>
        <v>1872</v>
      </c>
      <c r="G9" s="14" t="s">
        <v>31</v>
      </c>
      <c r="H9" s="6">
        <v>218</v>
      </c>
      <c r="I9" s="6">
        <v>57</v>
      </c>
      <c r="J9" s="6">
        <f t="shared" si="2"/>
        <v>967</v>
      </c>
      <c r="K9" s="6"/>
      <c r="L9" s="6">
        <v>967</v>
      </c>
      <c r="M9" s="6"/>
      <c r="N9" s="6">
        <v>0</v>
      </c>
      <c r="O9" s="6"/>
      <c r="P9" s="6">
        <v>945</v>
      </c>
      <c r="Q9" s="6">
        <v>0</v>
      </c>
      <c r="R9" s="6">
        <v>706</v>
      </c>
      <c r="S9" s="6"/>
      <c r="T9" s="6"/>
      <c r="U9" s="14" t="s">
        <v>132</v>
      </c>
      <c r="V9" s="14"/>
      <c r="W9" s="6">
        <v>8.5</v>
      </c>
      <c r="X9" s="6">
        <v>5.4</v>
      </c>
      <c r="Y9" s="15">
        <f t="shared" si="3"/>
        <v>0.10588235294117648</v>
      </c>
      <c r="Z9" s="16">
        <f t="shared" si="4"/>
        <v>0.6352941176470589</v>
      </c>
      <c r="AA9" s="16"/>
      <c r="AB9" s="16"/>
      <c r="AC9" s="13">
        <f t="shared" si="5"/>
        <v>0</v>
      </c>
      <c r="AD9" s="13">
        <f t="shared" si="6"/>
        <v>40.370370370370367</v>
      </c>
      <c r="AE9" s="13">
        <f t="shared" si="7"/>
        <v>179.07407407407408</v>
      </c>
      <c r="AF9" s="12"/>
      <c r="AG9" s="12"/>
      <c r="AH9" s="12">
        <f t="shared" si="9"/>
        <v>0</v>
      </c>
      <c r="AI9" s="12">
        <f t="shared" si="10"/>
        <v>0</v>
      </c>
      <c r="AJ9" s="12">
        <f t="shared" si="11"/>
        <v>0</v>
      </c>
      <c r="AK9" s="12">
        <f t="shared" si="12"/>
        <v>0</v>
      </c>
      <c r="AL9" s="12">
        <f t="shared" si="13"/>
        <v>0</v>
      </c>
      <c r="AM9" s="13">
        <f t="shared" si="14"/>
        <v>130.74074074074073</v>
      </c>
      <c r="AN9" s="13">
        <f t="shared" si="15"/>
        <v>175</v>
      </c>
      <c r="AO9" s="13"/>
      <c r="AP9" s="13"/>
      <c r="AQ9" s="12">
        <f t="shared" si="16"/>
        <v>2836</v>
      </c>
      <c r="AR9" s="13">
        <f t="shared" si="17"/>
        <v>525.18518518518522</v>
      </c>
      <c r="AS9" s="21" t="s">
        <v>154</v>
      </c>
    </row>
    <row r="10" spans="1:45" x14ac:dyDescent="0.25">
      <c r="A10" s="22">
        <v>45329</v>
      </c>
      <c r="B10" s="10" t="str">
        <f t="shared" si="0"/>
        <v>2024</v>
      </c>
      <c r="C10" s="10" t="str">
        <f t="shared" si="1"/>
        <v>February</v>
      </c>
      <c r="D10" s="10"/>
      <c r="E10" s="11">
        <v>189</v>
      </c>
      <c r="F10" s="12">
        <f t="shared" si="18"/>
        <v>2268</v>
      </c>
      <c r="G10" s="14" t="s">
        <v>31</v>
      </c>
      <c r="H10" s="6">
        <v>292</v>
      </c>
      <c r="I10" s="6">
        <v>57</v>
      </c>
      <c r="J10" s="6">
        <f t="shared" si="2"/>
        <v>979</v>
      </c>
      <c r="K10" s="6"/>
      <c r="L10" s="6">
        <v>979</v>
      </c>
      <c r="M10" s="6"/>
      <c r="N10" s="6">
        <v>0</v>
      </c>
      <c r="O10" s="6"/>
      <c r="P10" s="6">
        <v>892</v>
      </c>
      <c r="Q10" s="6">
        <v>0</v>
      </c>
      <c r="R10" s="6">
        <v>892</v>
      </c>
      <c r="S10" s="6"/>
      <c r="T10" s="6"/>
      <c r="U10" s="14" t="s">
        <v>132</v>
      </c>
      <c r="V10" s="14"/>
      <c r="W10" s="6">
        <v>7</v>
      </c>
      <c r="X10" s="6">
        <v>5.0999999999999996</v>
      </c>
      <c r="Y10" s="15">
        <f t="shared" si="3"/>
        <v>0.12142857142857141</v>
      </c>
      <c r="Z10" s="16">
        <f t="shared" si="4"/>
        <v>0.72857142857142854</v>
      </c>
      <c r="AA10" s="16"/>
      <c r="AB10" s="16"/>
      <c r="AC10" s="13">
        <f t="shared" si="5"/>
        <v>0</v>
      </c>
      <c r="AD10" s="13">
        <f t="shared" si="6"/>
        <v>57.254901960784316</v>
      </c>
      <c r="AE10" s="13">
        <f t="shared" si="7"/>
        <v>191.9607843137255</v>
      </c>
      <c r="AF10" s="12"/>
      <c r="AG10" s="12"/>
      <c r="AH10" s="12">
        <f t="shared" si="9"/>
        <v>0</v>
      </c>
      <c r="AI10" s="12">
        <f t="shared" si="10"/>
        <v>0</v>
      </c>
      <c r="AJ10" s="12">
        <f t="shared" si="11"/>
        <v>0</v>
      </c>
      <c r="AK10" s="12">
        <f t="shared" si="12"/>
        <v>0</v>
      </c>
      <c r="AL10" s="12">
        <f t="shared" si="13"/>
        <v>0</v>
      </c>
      <c r="AM10" s="13">
        <f t="shared" si="14"/>
        <v>174.90196078431373</v>
      </c>
      <c r="AN10" s="13">
        <f t="shared" si="15"/>
        <v>174.90196078431373</v>
      </c>
      <c r="AO10" s="13"/>
      <c r="AP10" s="13"/>
      <c r="AQ10" s="12">
        <f t="shared" si="16"/>
        <v>3055</v>
      </c>
      <c r="AR10" s="13">
        <f t="shared" si="17"/>
        <v>599.01960784313724</v>
      </c>
      <c r="AS10" s="21" t="s">
        <v>154</v>
      </c>
    </row>
    <row r="11" spans="1:45" x14ac:dyDescent="0.25">
      <c r="A11" s="22">
        <v>45330</v>
      </c>
      <c r="B11" s="10" t="str">
        <f t="shared" si="0"/>
        <v>2024</v>
      </c>
      <c r="C11" s="10" t="str">
        <f t="shared" si="1"/>
        <v>February</v>
      </c>
      <c r="D11" s="10"/>
      <c r="E11" s="11">
        <v>282</v>
      </c>
      <c r="F11" s="12">
        <f t="shared" si="18"/>
        <v>3384</v>
      </c>
      <c r="G11" s="14" t="s">
        <v>31</v>
      </c>
      <c r="H11" s="6">
        <v>60</v>
      </c>
      <c r="I11" s="6">
        <v>57</v>
      </c>
      <c r="J11" s="6">
        <f t="shared" si="2"/>
        <v>1915</v>
      </c>
      <c r="K11" s="6"/>
      <c r="L11" s="6">
        <v>1915</v>
      </c>
      <c r="M11" s="6"/>
      <c r="N11" s="6">
        <v>0</v>
      </c>
      <c r="O11" s="6"/>
      <c r="P11" s="6">
        <v>1365</v>
      </c>
      <c r="Q11" s="6">
        <v>0</v>
      </c>
      <c r="R11" s="6">
        <v>1216</v>
      </c>
      <c r="S11" s="6"/>
      <c r="T11" s="6"/>
      <c r="U11" s="14" t="s">
        <v>132</v>
      </c>
      <c r="V11" s="14"/>
      <c r="W11" s="6">
        <v>9</v>
      </c>
      <c r="X11" s="6">
        <v>7.8</v>
      </c>
      <c r="Y11" s="15">
        <f t="shared" si="3"/>
        <v>0.14444444444444443</v>
      </c>
      <c r="Z11" s="16">
        <f t="shared" si="4"/>
        <v>0.8666666666666667</v>
      </c>
      <c r="AA11" s="16"/>
      <c r="AB11" s="16"/>
      <c r="AC11" s="13">
        <f t="shared" si="5"/>
        <v>0</v>
      </c>
      <c r="AD11" s="13">
        <f t="shared" si="6"/>
        <v>7.6923076923076925</v>
      </c>
      <c r="AE11" s="13">
        <f t="shared" si="7"/>
        <v>245.51282051282053</v>
      </c>
      <c r="AF11" s="12"/>
      <c r="AG11" s="12"/>
      <c r="AH11" s="12">
        <f t="shared" si="9"/>
        <v>0</v>
      </c>
      <c r="AI11" s="12">
        <f t="shared" si="10"/>
        <v>0</v>
      </c>
      <c r="AJ11" s="12">
        <f t="shared" si="11"/>
        <v>0</v>
      </c>
      <c r="AK11" s="12">
        <f t="shared" si="12"/>
        <v>0</v>
      </c>
      <c r="AL11" s="12">
        <f t="shared" si="13"/>
        <v>0</v>
      </c>
      <c r="AM11" s="13">
        <f t="shared" si="14"/>
        <v>155.89743589743591</v>
      </c>
      <c r="AN11" s="13">
        <f t="shared" si="15"/>
        <v>175</v>
      </c>
      <c r="AO11" s="13"/>
      <c r="AP11" s="13"/>
      <c r="AQ11" s="12">
        <f t="shared" si="16"/>
        <v>4556</v>
      </c>
      <c r="AR11" s="13">
        <f t="shared" si="17"/>
        <v>584.1025641025642</v>
      </c>
      <c r="AS11" s="21" t="s">
        <v>154</v>
      </c>
    </row>
    <row r="12" spans="1:45" x14ac:dyDescent="0.25">
      <c r="A12" s="22">
        <v>45331</v>
      </c>
      <c r="B12" s="10" t="str">
        <f t="shared" si="0"/>
        <v>2024</v>
      </c>
      <c r="C12" s="10" t="str">
        <f t="shared" si="1"/>
        <v>February</v>
      </c>
      <c r="D12" s="10"/>
      <c r="E12" s="11">
        <v>169</v>
      </c>
      <c r="F12" s="12">
        <f t="shared" si="18"/>
        <v>2028</v>
      </c>
      <c r="G12" s="14" t="s">
        <v>31</v>
      </c>
      <c r="H12" s="6">
        <v>0</v>
      </c>
      <c r="I12" s="6">
        <v>57</v>
      </c>
      <c r="J12" s="6">
        <f t="shared" si="2"/>
        <v>1086</v>
      </c>
      <c r="K12" s="6"/>
      <c r="L12" s="6">
        <v>1086</v>
      </c>
      <c r="M12" s="6"/>
      <c r="N12" s="6">
        <v>0</v>
      </c>
      <c r="O12" s="6"/>
      <c r="P12" s="6">
        <v>840</v>
      </c>
      <c r="Q12" s="6">
        <v>0</v>
      </c>
      <c r="R12" s="6">
        <v>656</v>
      </c>
      <c r="S12" s="6"/>
      <c r="T12" s="6"/>
      <c r="U12" s="14" t="s">
        <v>132</v>
      </c>
      <c r="V12" s="14"/>
      <c r="W12" s="6">
        <v>6</v>
      </c>
      <c r="X12" s="6">
        <v>4.8</v>
      </c>
      <c r="Y12" s="15">
        <f t="shared" si="3"/>
        <v>0.13333333333333333</v>
      </c>
      <c r="Z12" s="16">
        <f t="shared" si="4"/>
        <v>0.79999999999999993</v>
      </c>
      <c r="AA12" s="16"/>
      <c r="AB12" s="16"/>
      <c r="AC12" s="13">
        <f t="shared" si="5"/>
        <v>0</v>
      </c>
      <c r="AD12" s="13">
        <f t="shared" si="6"/>
        <v>0</v>
      </c>
      <c r="AE12" s="13">
        <f t="shared" si="7"/>
        <v>226.25</v>
      </c>
      <c r="AF12" s="12"/>
      <c r="AG12" s="12"/>
      <c r="AH12" s="12">
        <f t="shared" si="9"/>
        <v>0</v>
      </c>
      <c r="AI12" s="12">
        <f t="shared" si="10"/>
        <v>0</v>
      </c>
      <c r="AJ12" s="12">
        <f t="shared" si="11"/>
        <v>0</v>
      </c>
      <c r="AK12" s="12">
        <f t="shared" si="12"/>
        <v>0</v>
      </c>
      <c r="AL12" s="12">
        <f t="shared" si="13"/>
        <v>0</v>
      </c>
      <c r="AM12" s="13">
        <f t="shared" si="14"/>
        <v>136.66666666666669</v>
      </c>
      <c r="AN12" s="13">
        <f t="shared" si="15"/>
        <v>175</v>
      </c>
      <c r="AO12" s="13"/>
      <c r="AP12" s="13"/>
      <c r="AQ12" s="12">
        <f t="shared" si="16"/>
        <v>2582</v>
      </c>
      <c r="AR12" s="13">
        <f t="shared" si="17"/>
        <v>537.91666666666674</v>
      </c>
      <c r="AS12" s="21" t="s">
        <v>155</v>
      </c>
    </row>
    <row r="13" spans="1:45" x14ac:dyDescent="0.25">
      <c r="A13" s="22">
        <v>45344</v>
      </c>
      <c r="B13" s="10" t="str">
        <f t="shared" si="0"/>
        <v>2024</v>
      </c>
      <c r="C13" s="10" t="str">
        <f t="shared" si="1"/>
        <v>February</v>
      </c>
      <c r="D13" s="10"/>
      <c r="E13" s="11">
        <v>303</v>
      </c>
      <c r="F13" s="12">
        <f t="shared" si="18"/>
        <v>3636</v>
      </c>
      <c r="G13" s="14" t="s">
        <v>31</v>
      </c>
      <c r="H13" s="6">
        <v>106</v>
      </c>
      <c r="I13" s="6">
        <v>57</v>
      </c>
      <c r="J13" s="6">
        <f t="shared" si="2"/>
        <v>1625</v>
      </c>
      <c r="K13" s="6"/>
      <c r="L13" s="6">
        <v>1130</v>
      </c>
      <c r="M13" s="6"/>
      <c r="N13" s="6">
        <v>495</v>
      </c>
      <c r="O13" s="6"/>
      <c r="P13" s="6">
        <v>1102</v>
      </c>
      <c r="Q13" s="6">
        <v>0</v>
      </c>
      <c r="R13" s="6">
        <v>0</v>
      </c>
      <c r="S13" s="6"/>
      <c r="T13" s="6"/>
      <c r="U13" s="14" t="s">
        <v>132</v>
      </c>
      <c r="V13" s="14"/>
      <c r="W13" s="6">
        <v>7</v>
      </c>
      <c r="X13" s="6">
        <v>6.3</v>
      </c>
      <c r="Y13" s="15">
        <f t="shared" si="3"/>
        <v>0.15</v>
      </c>
      <c r="Z13" s="16">
        <f t="shared" si="4"/>
        <v>0.9</v>
      </c>
      <c r="AA13" s="16"/>
      <c r="AB13" s="16"/>
      <c r="AC13" s="13">
        <f t="shared" si="5"/>
        <v>0</v>
      </c>
      <c r="AD13" s="13">
        <f t="shared" si="6"/>
        <v>16.825396825396826</v>
      </c>
      <c r="AE13" s="13">
        <f t="shared" si="7"/>
        <v>257.93650793650795</v>
      </c>
      <c r="AF13" s="12"/>
      <c r="AG13" s="12">
        <f t="shared" si="8"/>
        <v>78.571428571428569</v>
      </c>
      <c r="AH13" s="12">
        <f t="shared" si="9"/>
        <v>0</v>
      </c>
      <c r="AI13" s="12">
        <f t="shared" si="10"/>
        <v>0</v>
      </c>
      <c r="AJ13" s="12">
        <f t="shared" si="11"/>
        <v>0.13613861386138615</v>
      </c>
      <c r="AK13" s="12">
        <f t="shared" si="12"/>
        <v>0</v>
      </c>
      <c r="AL13" s="12">
        <f t="shared" si="13"/>
        <v>0.13613861386138615</v>
      </c>
      <c r="AM13" s="13">
        <f t="shared" si="14"/>
        <v>0</v>
      </c>
      <c r="AN13" s="13">
        <f t="shared" si="15"/>
        <v>174.92063492063494</v>
      </c>
      <c r="AO13" s="13"/>
      <c r="AP13" s="13"/>
      <c r="AQ13" s="12">
        <f t="shared" si="16"/>
        <v>2833</v>
      </c>
      <c r="AR13" s="13">
        <f t="shared" si="17"/>
        <v>449.6825396825397</v>
      </c>
      <c r="AS13" s="21" t="s">
        <v>156</v>
      </c>
    </row>
    <row r="14" spans="1:45" x14ac:dyDescent="0.25">
      <c r="A14" s="22">
        <v>45348</v>
      </c>
      <c r="B14" s="10" t="str">
        <f t="shared" si="0"/>
        <v>2024</v>
      </c>
      <c r="C14" s="10" t="str">
        <f t="shared" si="1"/>
        <v>February</v>
      </c>
      <c r="D14" s="10"/>
      <c r="E14" s="11">
        <v>236</v>
      </c>
      <c r="F14" s="12">
        <f t="shared" si="18"/>
        <v>2832</v>
      </c>
      <c r="G14" s="14" t="s">
        <v>31</v>
      </c>
      <c r="H14" s="6">
        <v>33</v>
      </c>
      <c r="I14" s="6">
        <v>57</v>
      </c>
      <c r="J14" s="6">
        <f t="shared" si="2"/>
        <v>1232</v>
      </c>
      <c r="K14" s="6"/>
      <c r="L14" s="6">
        <v>985</v>
      </c>
      <c r="M14" s="6"/>
      <c r="N14" s="6">
        <v>247</v>
      </c>
      <c r="O14" s="6"/>
      <c r="P14" s="6">
        <v>962</v>
      </c>
      <c r="Q14" s="6">
        <v>0</v>
      </c>
      <c r="R14" s="6">
        <v>1134</v>
      </c>
      <c r="S14" s="6"/>
      <c r="T14" s="6"/>
      <c r="U14" s="14" t="s">
        <v>132</v>
      </c>
      <c r="V14" s="14"/>
      <c r="W14" s="6">
        <v>6</v>
      </c>
      <c r="X14" s="6">
        <v>5.5</v>
      </c>
      <c r="Y14" s="15">
        <f t="shared" si="3"/>
        <v>0.15277777777777779</v>
      </c>
      <c r="Z14" s="16">
        <f t="shared" si="4"/>
        <v>0.91666666666666663</v>
      </c>
      <c r="AA14" s="16"/>
      <c r="AB14" s="16"/>
      <c r="AC14" s="13">
        <f t="shared" si="5"/>
        <v>0</v>
      </c>
      <c r="AD14" s="13">
        <f t="shared" si="6"/>
        <v>6</v>
      </c>
      <c r="AE14" s="13">
        <f t="shared" si="7"/>
        <v>224</v>
      </c>
      <c r="AF14" s="12"/>
      <c r="AG14" s="12">
        <f t="shared" si="8"/>
        <v>44.909090909090907</v>
      </c>
      <c r="AH14" s="12">
        <f t="shared" si="9"/>
        <v>0</v>
      </c>
      <c r="AI14" s="12">
        <f t="shared" si="10"/>
        <v>0</v>
      </c>
      <c r="AJ14" s="12">
        <f t="shared" si="11"/>
        <v>8.721751412429378E-2</v>
      </c>
      <c r="AK14" s="12">
        <f t="shared" si="12"/>
        <v>0</v>
      </c>
      <c r="AL14" s="12">
        <f t="shared" si="13"/>
        <v>8.721751412429378E-2</v>
      </c>
      <c r="AM14" s="13">
        <f t="shared" si="14"/>
        <v>206.18181818181819</v>
      </c>
      <c r="AN14" s="13">
        <f t="shared" si="15"/>
        <v>174.90909090909091</v>
      </c>
      <c r="AO14" s="13"/>
      <c r="AP14" s="13"/>
      <c r="AQ14" s="12">
        <f t="shared" si="16"/>
        <v>3361</v>
      </c>
      <c r="AR14" s="13">
        <f t="shared" si="17"/>
        <v>611.09090909090912</v>
      </c>
      <c r="AS14" s="21" t="s">
        <v>157</v>
      </c>
    </row>
    <row r="15" spans="1:45" x14ac:dyDescent="0.25">
      <c r="A15" s="22">
        <v>45350</v>
      </c>
      <c r="B15" s="10" t="str">
        <f t="shared" si="0"/>
        <v>2024</v>
      </c>
      <c r="C15" s="10" t="str">
        <f t="shared" si="1"/>
        <v>February</v>
      </c>
      <c r="D15" s="10"/>
      <c r="E15" s="11">
        <v>270</v>
      </c>
      <c r="F15" s="12">
        <f t="shared" si="18"/>
        <v>3240</v>
      </c>
      <c r="G15" s="14" t="s">
        <v>31</v>
      </c>
      <c r="H15" s="6">
        <v>118</v>
      </c>
      <c r="I15" s="6">
        <v>57</v>
      </c>
      <c r="J15" s="6">
        <f t="shared" si="2"/>
        <v>2147</v>
      </c>
      <c r="K15" s="6"/>
      <c r="L15" s="6">
        <v>1664</v>
      </c>
      <c r="M15" s="6"/>
      <c r="N15" s="6">
        <v>483</v>
      </c>
      <c r="O15" s="6"/>
      <c r="P15" s="6">
        <v>1312</v>
      </c>
      <c r="Q15" s="6">
        <v>0</v>
      </c>
      <c r="R15" s="6">
        <v>0</v>
      </c>
      <c r="S15" s="6"/>
      <c r="T15" s="6"/>
      <c r="U15" s="14" t="s">
        <v>132</v>
      </c>
      <c r="V15" s="14"/>
      <c r="W15" s="6">
        <v>9</v>
      </c>
      <c r="X15" s="6">
        <v>7.5</v>
      </c>
      <c r="Y15" s="15">
        <f t="shared" si="3"/>
        <v>0.1388888888888889</v>
      </c>
      <c r="Z15" s="16">
        <f t="shared" si="4"/>
        <v>0.83333333333333337</v>
      </c>
      <c r="AA15" s="16"/>
      <c r="AB15" s="16"/>
      <c r="AC15" s="13">
        <f t="shared" si="5"/>
        <v>0</v>
      </c>
      <c r="AD15" s="13">
        <f t="shared" si="6"/>
        <v>15.733333333333333</v>
      </c>
      <c r="AE15" s="13">
        <f t="shared" si="7"/>
        <v>286.26666666666665</v>
      </c>
      <c r="AF15" s="12"/>
      <c r="AG15" s="12">
        <f t="shared" si="8"/>
        <v>64.400000000000006</v>
      </c>
      <c r="AH15" s="12">
        <f t="shared" si="9"/>
        <v>0</v>
      </c>
      <c r="AI15" s="12">
        <f t="shared" si="10"/>
        <v>0</v>
      </c>
      <c r="AJ15" s="12">
        <f t="shared" si="11"/>
        <v>0.14907407407407408</v>
      </c>
      <c r="AK15" s="12">
        <f t="shared" si="12"/>
        <v>0</v>
      </c>
      <c r="AL15" s="12">
        <f t="shared" si="13"/>
        <v>0.14907407407407408</v>
      </c>
      <c r="AM15" s="13">
        <f t="shared" si="14"/>
        <v>0</v>
      </c>
      <c r="AN15" s="13">
        <f t="shared" si="15"/>
        <v>174.93333333333334</v>
      </c>
      <c r="AO15" s="13"/>
      <c r="AP15" s="13"/>
      <c r="AQ15" s="12">
        <f t="shared" si="16"/>
        <v>3577</v>
      </c>
      <c r="AR15" s="13">
        <f t="shared" si="17"/>
        <v>476.93333333333334</v>
      </c>
      <c r="AS15" s="21" t="s">
        <v>159</v>
      </c>
    </row>
    <row r="16" spans="1:45" x14ac:dyDescent="0.25">
      <c r="A16" s="22">
        <v>45351</v>
      </c>
      <c r="B16" s="10" t="str">
        <f t="shared" si="0"/>
        <v>2024</v>
      </c>
      <c r="C16" s="10" t="str">
        <f t="shared" si="1"/>
        <v>February</v>
      </c>
      <c r="D16" s="10"/>
      <c r="E16" s="11">
        <v>113</v>
      </c>
      <c r="F16" s="12">
        <f t="shared" si="18"/>
        <v>1356</v>
      </c>
      <c r="G16" s="14" t="s">
        <v>31</v>
      </c>
      <c r="H16" s="6">
        <v>64</v>
      </c>
      <c r="I16" s="6">
        <v>57</v>
      </c>
      <c r="J16" s="6">
        <f t="shared" si="2"/>
        <v>926</v>
      </c>
      <c r="K16" s="6"/>
      <c r="L16" s="6">
        <v>741</v>
      </c>
      <c r="M16" s="6"/>
      <c r="N16" s="6">
        <v>185</v>
      </c>
      <c r="O16" s="6"/>
      <c r="P16" s="6">
        <v>700</v>
      </c>
      <c r="Q16" s="6">
        <v>0</v>
      </c>
      <c r="R16" s="6">
        <v>0</v>
      </c>
      <c r="S16" s="6"/>
      <c r="T16" s="6"/>
      <c r="U16" s="14" t="s">
        <v>132</v>
      </c>
      <c r="V16" s="14"/>
      <c r="W16" s="6">
        <v>9</v>
      </c>
      <c r="X16" s="6">
        <v>4</v>
      </c>
      <c r="Y16" s="15">
        <f t="shared" si="3"/>
        <v>7.407407407407407E-2</v>
      </c>
      <c r="Z16" s="16">
        <f t="shared" si="4"/>
        <v>0.44444444444444442</v>
      </c>
      <c r="AA16" s="16"/>
      <c r="AB16" s="16"/>
      <c r="AC16" s="13">
        <f t="shared" si="5"/>
        <v>0</v>
      </c>
      <c r="AD16" s="13">
        <f t="shared" si="6"/>
        <v>16</v>
      </c>
      <c r="AE16" s="13">
        <f t="shared" si="7"/>
        <v>231.5</v>
      </c>
      <c r="AF16" s="12"/>
      <c r="AG16" s="12">
        <f t="shared" si="8"/>
        <v>46.25</v>
      </c>
      <c r="AH16" s="12">
        <f t="shared" si="9"/>
        <v>0</v>
      </c>
      <c r="AI16" s="12">
        <f t="shared" si="10"/>
        <v>0</v>
      </c>
      <c r="AJ16" s="12">
        <f t="shared" si="11"/>
        <v>0.1364306784660767</v>
      </c>
      <c r="AK16" s="12">
        <f t="shared" si="12"/>
        <v>0</v>
      </c>
      <c r="AL16" s="12">
        <f t="shared" si="13"/>
        <v>0.1364306784660767</v>
      </c>
      <c r="AM16" s="13">
        <f t="shared" si="14"/>
        <v>0</v>
      </c>
      <c r="AN16" s="13">
        <f t="shared" si="15"/>
        <v>175</v>
      </c>
      <c r="AO16" s="13"/>
      <c r="AP16" s="13"/>
      <c r="AQ16" s="12">
        <f t="shared" si="16"/>
        <v>1690</v>
      </c>
      <c r="AR16" s="13">
        <f t="shared" si="17"/>
        <v>422.5</v>
      </c>
      <c r="AS16" s="21" t="s">
        <v>160</v>
      </c>
    </row>
    <row r="17" spans="1:45" x14ac:dyDescent="0.25">
      <c r="A17" s="22">
        <v>45352</v>
      </c>
      <c r="B17" s="10" t="str">
        <f t="shared" si="0"/>
        <v>2024</v>
      </c>
      <c r="C17" s="10" t="str">
        <f t="shared" si="1"/>
        <v>March</v>
      </c>
      <c r="D17" s="10"/>
      <c r="E17" s="11">
        <v>163</v>
      </c>
      <c r="F17" s="12">
        <f t="shared" si="18"/>
        <v>1956</v>
      </c>
      <c r="G17" s="14" t="s">
        <v>31</v>
      </c>
      <c r="H17" s="6">
        <v>84</v>
      </c>
      <c r="I17" s="6">
        <v>57</v>
      </c>
      <c r="J17" s="6">
        <f t="shared" si="2"/>
        <v>1481</v>
      </c>
      <c r="K17" s="6"/>
      <c r="L17" s="6">
        <v>1047</v>
      </c>
      <c r="M17" s="6"/>
      <c r="N17" s="6">
        <v>434</v>
      </c>
      <c r="O17" s="6"/>
      <c r="P17" s="6">
        <v>752</v>
      </c>
      <c r="Q17" s="6">
        <v>0</v>
      </c>
      <c r="R17" s="6">
        <v>0</v>
      </c>
      <c r="S17" s="6"/>
      <c r="T17" s="6"/>
      <c r="U17" s="14" t="s">
        <v>132</v>
      </c>
      <c r="V17" s="14"/>
      <c r="W17" s="6">
        <v>7</v>
      </c>
      <c r="X17" s="6">
        <v>4.8</v>
      </c>
      <c r="Y17" s="15">
        <f t="shared" si="3"/>
        <v>0.11428571428571428</v>
      </c>
      <c r="Z17" s="16">
        <f t="shared" si="4"/>
        <v>0.68571428571428572</v>
      </c>
      <c r="AA17" s="16"/>
      <c r="AB17" s="16"/>
      <c r="AC17" s="13">
        <f t="shared" si="5"/>
        <v>0</v>
      </c>
      <c r="AD17" s="13">
        <f t="shared" si="6"/>
        <v>17.5</v>
      </c>
      <c r="AE17" s="13">
        <f t="shared" si="7"/>
        <v>308.54166666666669</v>
      </c>
      <c r="AF17" s="12"/>
      <c r="AG17" s="12">
        <f t="shared" si="8"/>
        <v>90.416666666666671</v>
      </c>
      <c r="AH17" s="12">
        <f t="shared" si="9"/>
        <v>0</v>
      </c>
      <c r="AI17" s="12">
        <f t="shared" si="10"/>
        <v>0</v>
      </c>
      <c r="AJ17" s="12">
        <f t="shared" si="11"/>
        <v>0.22188139059304704</v>
      </c>
      <c r="AK17" s="12">
        <f t="shared" si="12"/>
        <v>0</v>
      </c>
      <c r="AL17" s="12">
        <f t="shared" si="13"/>
        <v>0.22188139059304704</v>
      </c>
      <c r="AM17" s="13">
        <f t="shared" si="14"/>
        <v>0</v>
      </c>
      <c r="AN17" s="13">
        <f t="shared" si="15"/>
        <v>156.66666666666669</v>
      </c>
      <c r="AO17" s="13"/>
      <c r="AP17" s="13"/>
      <c r="AQ17" s="12">
        <f t="shared" si="16"/>
        <v>2317</v>
      </c>
      <c r="AR17" s="13">
        <f t="shared" si="17"/>
        <v>482.70833333333337</v>
      </c>
      <c r="AS17" s="21"/>
    </row>
    <row r="18" spans="1:45" x14ac:dyDescent="0.25">
      <c r="A18" s="22">
        <v>45355</v>
      </c>
      <c r="B18" s="10" t="str">
        <f t="shared" si="0"/>
        <v>2024</v>
      </c>
      <c r="C18" s="10" t="str">
        <f t="shared" si="1"/>
        <v>March</v>
      </c>
      <c r="D18" s="10"/>
      <c r="E18" s="11">
        <v>372</v>
      </c>
      <c r="F18" s="12">
        <f t="shared" si="18"/>
        <v>4464</v>
      </c>
      <c r="G18" s="14" t="s">
        <v>31</v>
      </c>
      <c r="H18" s="6">
        <v>0</v>
      </c>
      <c r="I18" s="6">
        <v>57</v>
      </c>
      <c r="J18" s="6">
        <f t="shared" si="2"/>
        <v>0</v>
      </c>
      <c r="K18" s="6"/>
      <c r="L18" s="6">
        <v>0</v>
      </c>
      <c r="M18" s="6"/>
      <c r="N18" s="6">
        <v>0</v>
      </c>
      <c r="O18" s="6"/>
      <c r="P18" s="6">
        <v>0</v>
      </c>
      <c r="Q18" s="6">
        <v>0</v>
      </c>
      <c r="R18" s="6">
        <v>3642</v>
      </c>
      <c r="S18" s="6"/>
      <c r="T18" s="6"/>
      <c r="U18" s="14" t="s">
        <v>132</v>
      </c>
      <c r="V18" s="14"/>
      <c r="W18" s="6">
        <v>8</v>
      </c>
      <c r="X18" s="6">
        <v>7</v>
      </c>
      <c r="Y18" s="15">
        <f t="shared" si="3"/>
        <v>0.14583333333333334</v>
      </c>
      <c r="Z18" s="16">
        <f t="shared" si="4"/>
        <v>0.875</v>
      </c>
      <c r="AA18" s="16"/>
      <c r="AB18" s="16"/>
      <c r="AC18" s="13">
        <f t="shared" si="5"/>
        <v>0</v>
      </c>
      <c r="AD18" s="13">
        <f t="shared" si="6"/>
        <v>0</v>
      </c>
      <c r="AE18" s="13">
        <f t="shared" si="7"/>
        <v>0</v>
      </c>
      <c r="AF18" s="12"/>
      <c r="AG18" s="12"/>
      <c r="AH18" s="12">
        <f t="shared" si="9"/>
        <v>0</v>
      </c>
      <c r="AI18" s="12">
        <f t="shared" si="10"/>
        <v>0</v>
      </c>
      <c r="AJ18" s="12">
        <f t="shared" si="11"/>
        <v>0</v>
      </c>
      <c r="AK18" s="12">
        <f t="shared" si="12"/>
        <v>0</v>
      </c>
      <c r="AL18" s="12">
        <f t="shared" si="13"/>
        <v>0</v>
      </c>
      <c r="AM18" s="13">
        <f t="shared" si="14"/>
        <v>520.28571428571433</v>
      </c>
      <c r="AN18" s="13">
        <f t="shared" si="15"/>
        <v>0</v>
      </c>
      <c r="AO18" s="13"/>
      <c r="AP18" s="13"/>
      <c r="AQ18" s="12">
        <f t="shared" si="16"/>
        <v>3642</v>
      </c>
      <c r="AR18" s="13">
        <f t="shared" si="17"/>
        <v>520.28571428571433</v>
      </c>
      <c r="AS18" s="21" t="s">
        <v>161</v>
      </c>
    </row>
    <row r="19" spans="1:45" x14ac:dyDescent="0.25">
      <c r="A19" s="22">
        <v>45356</v>
      </c>
      <c r="B19" s="10" t="str">
        <f t="shared" si="0"/>
        <v>2024</v>
      </c>
      <c r="C19" s="10" t="str">
        <f t="shared" si="1"/>
        <v>March</v>
      </c>
      <c r="D19" s="10"/>
      <c r="E19" s="11">
        <v>178</v>
      </c>
      <c r="F19" s="12">
        <f t="shared" si="18"/>
        <v>2136</v>
      </c>
      <c r="G19" s="14" t="s">
        <v>31</v>
      </c>
      <c r="H19" s="6">
        <v>0</v>
      </c>
      <c r="I19" s="6">
        <v>57</v>
      </c>
      <c r="J19" s="6">
        <f t="shared" si="2"/>
        <v>0</v>
      </c>
      <c r="K19" s="6"/>
      <c r="L19" s="6">
        <v>0</v>
      </c>
      <c r="M19" s="6"/>
      <c r="N19" s="6">
        <v>0</v>
      </c>
      <c r="O19" s="6"/>
      <c r="P19" s="6">
        <v>0</v>
      </c>
      <c r="Q19" s="6">
        <v>0</v>
      </c>
      <c r="R19" s="6">
        <v>1687</v>
      </c>
      <c r="S19" s="6"/>
      <c r="T19" s="6"/>
      <c r="U19" s="14" t="s">
        <v>132</v>
      </c>
      <c r="V19" s="14"/>
      <c r="W19" s="6">
        <v>5</v>
      </c>
      <c r="X19" s="6">
        <v>3.4</v>
      </c>
      <c r="Y19" s="15">
        <f t="shared" si="3"/>
        <v>0.11333333333333333</v>
      </c>
      <c r="Z19" s="16">
        <f t="shared" si="4"/>
        <v>0.67999999999999994</v>
      </c>
      <c r="AA19" s="16"/>
      <c r="AB19" s="16"/>
      <c r="AC19" s="13">
        <f t="shared" si="5"/>
        <v>0</v>
      </c>
      <c r="AD19" s="13">
        <f t="shared" si="6"/>
        <v>0</v>
      </c>
      <c r="AE19" s="13">
        <f t="shared" si="7"/>
        <v>0</v>
      </c>
      <c r="AF19" s="12"/>
      <c r="AG19" s="12"/>
      <c r="AH19" s="12">
        <f t="shared" si="9"/>
        <v>0</v>
      </c>
      <c r="AI19" s="12">
        <f t="shared" si="10"/>
        <v>0</v>
      </c>
      <c r="AJ19" s="12">
        <f t="shared" si="11"/>
        <v>0</v>
      </c>
      <c r="AK19" s="12">
        <f t="shared" si="12"/>
        <v>0</v>
      </c>
      <c r="AL19" s="12">
        <f t="shared" si="13"/>
        <v>0</v>
      </c>
      <c r="AM19" s="13">
        <f t="shared" si="14"/>
        <v>496.1764705882353</v>
      </c>
      <c r="AN19" s="13">
        <f t="shared" si="15"/>
        <v>0</v>
      </c>
      <c r="AO19" s="13"/>
      <c r="AP19" s="13"/>
      <c r="AQ19" s="12">
        <f t="shared" si="16"/>
        <v>1687</v>
      </c>
      <c r="AR19" s="13">
        <f t="shared" si="17"/>
        <v>496.1764705882353</v>
      </c>
      <c r="AS19" s="21" t="s">
        <v>162</v>
      </c>
    </row>
    <row r="20" spans="1:45" x14ac:dyDescent="0.25">
      <c r="A20" s="22">
        <v>45358</v>
      </c>
      <c r="B20" s="10" t="str">
        <f t="shared" si="0"/>
        <v>2024</v>
      </c>
      <c r="C20" s="10" t="str">
        <f t="shared" si="1"/>
        <v>March</v>
      </c>
      <c r="D20" s="10"/>
      <c r="E20" s="11">
        <v>385</v>
      </c>
      <c r="F20" s="12">
        <f t="shared" si="18"/>
        <v>4620</v>
      </c>
      <c r="G20" s="14" t="s">
        <v>31</v>
      </c>
      <c r="H20" s="6">
        <v>0</v>
      </c>
      <c r="I20" s="6">
        <v>57</v>
      </c>
      <c r="J20" s="6">
        <f t="shared" si="2"/>
        <v>0</v>
      </c>
      <c r="K20" s="6"/>
      <c r="L20" s="6">
        <v>0</v>
      </c>
      <c r="M20" s="6"/>
      <c r="N20" s="6">
        <v>0</v>
      </c>
      <c r="O20" s="6"/>
      <c r="P20" s="6">
        <v>0</v>
      </c>
      <c r="Q20" s="6">
        <v>0</v>
      </c>
      <c r="R20" s="6">
        <v>2049</v>
      </c>
      <c r="S20" s="6">
        <v>1646</v>
      </c>
      <c r="T20" s="6">
        <v>2090</v>
      </c>
      <c r="U20" s="14" t="s">
        <v>163</v>
      </c>
      <c r="V20" s="14"/>
      <c r="W20" s="6">
        <v>9</v>
      </c>
      <c r="X20" s="6">
        <v>7.6</v>
      </c>
      <c r="Y20" s="15">
        <f t="shared" si="3"/>
        <v>0.14074074074074072</v>
      </c>
      <c r="Z20" s="16">
        <f t="shared" si="4"/>
        <v>0.84444444444444444</v>
      </c>
      <c r="AA20" s="16"/>
      <c r="AB20" s="16"/>
      <c r="AC20" s="13">
        <f t="shared" si="5"/>
        <v>0</v>
      </c>
      <c r="AD20" s="13">
        <f t="shared" si="6"/>
        <v>0</v>
      </c>
      <c r="AE20" s="13">
        <f t="shared" si="7"/>
        <v>0</v>
      </c>
      <c r="AF20" s="12"/>
      <c r="AG20" s="12"/>
      <c r="AH20" s="12">
        <f t="shared" si="9"/>
        <v>0</v>
      </c>
      <c r="AI20" s="12">
        <f t="shared" si="10"/>
        <v>0</v>
      </c>
      <c r="AJ20" s="12">
        <f t="shared" si="11"/>
        <v>0</v>
      </c>
      <c r="AK20" s="12">
        <f t="shared" si="12"/>
        <v>0</v>
      </c>
      <c r="AL20" s="12">
        <f t="shared" si="13"/>
        <v>0</v>
      </c>
      <c r="AM20" s="13">
        <f t="shared" si="14"/>
        <v>269.60526315789474</v>
      </c>
      <c r="AN20" s="13">
        <f t="shared" si="15"/>
        <v>0</v>
      </c>
      <c r="AO20" s="13">
        <f t="shared" ref="AO20:AO51" si="19">S20/X20</f>
        <v>216.57894736842107</v>
      </c>
      <c r="AP20" s="13">
        <f t="shared" ref="AP20:AP51" si="20">T20/X20</f>
        <v>275</v>
      </c>
      <c r="AQ20" s="12">
        <f t="shared" si="16"/>
        <v>2049</v>
      </c>
      <c r="AR20" s="13">
        <f>AP20+AO20+AN20+AM20+AE20+AD20+AC20</f>
        <v>761.18421052631584</v>
      </c>
      <c r="AS20" s="21"/>
    </row>
    <row r="21" spans="1:45" x14ac:dyDescent="0.25">
      <c r="A21" s="22">
        <v>45359</v>
      </c>
      <c r="B21" s="10" t="str">
        <f t="shared" si="0"/>
        <v>2024</v>
      </c>
      <c r="C21" s="10" t="str">
        <f t="shared" si="1"/>
        <v>March</v>
      </c>
      <c r="D21" s="10"/>
      <c r="E21" s="11">
        <v>352</v>
      </c>
      <c r="F21" s="12">
        <f t="shared" si="18"/>
        <v>4224</v>
      </c>
      <c r="G21" s="14" t="s">
        <v>31</v>
      </c>
      <c r="H21" s="6">
        <v>0</v>
      </c>
      <c r="I21" s="6">
        <v>57</v>
      </c>
      <c r="J21" s="6">
        <f t="shared" si="2"/>
        <v>0</v>
      </c>
      <c r="K21" s="6"/>
      <c r="L21" s="6">
        <v>0</v>
      </c>
      <c r="M21" s="6"/>
      <c r="N21" s="6">
        <v>0</v>
      </c>
      <c r="O21" s="6"/>
      <c r="P21" s="6">
        <v>0</v>
      </c>
      <c r="Q21" s="6">
        <v>0</v>
      </c>
      <c r="R21" s="6">
        <v>1296</v>
      </c>
      <c r="S21" s="6">
        <v>1676</v>
      </c>
      <c r="T21" s="6">
        <v>1952</v>
      </c>
      <c r="U21" s="14" t="s">
        <v>132</v>
      </c>
      <c r="V21" s="14"/>
      <c r="W21" s="6">
        <v>9</v>
      </c>
      <c r="X21" s="6">
        <v>7.1</v>
      </c>
      <c r="Y21" s="15">
        <f t="shared" si="3"/>
        <v>0.13148148148148148</v>
      </c>
      <c r="Z21" s="16">
        <f t="shared" si="4"/>
        <v>0.78888888888888886</v>
      </c>
      <c r="AA21" s="16"/>
      <c r="AB21" s="16"/>
      <c r="AC21" s="13">
        <f t="shared" si="5"/>
        <v>0</v>
      </c>
      <c r="AD21" s="13">
        <f t="shared" si="6"/>
        <v>0</v>
      </c>
      <c r="AE21" s="13">
        <f t="shared" si="7"/>
        <v>0</v>
      </c>
      <c r="AF21" s="12"/>
      <c r="AG21" s="12"/>
      <c r="AH21" s="12">
        <f t="shared" si="9"/>
        <v>0</v>
      </c>
      <c r="AI21" s="12">
        <f t="shared" si="10"/>
        <v>0</v>
      </c>
      <c r="AJ21" s="12">
        <f t="shared" si="11"/>
        <v>0</v>
      </c>
      <c r="AK21" s="12">
        <f t="shared" si="12"/>
        <v>0</v>
      </c>
      <c r="AL21" s="12">
        <f t="shared" si="13"/>
        <v>0</v>
      </c>
      <c r="AM21" s="13">
        <f t="shared" si="14"/>
        <v>182.53521126760563</v>
      </c>
      <c r="AN21" s="13">
        <f t="shared" si="15"/>
        <v>0</v>
      </c>
      <c r="AO21" s="13">
        <f t="shared" si="19"/>
        <v>236.05633802816902</v>
      </c>
      <c r="AP21" s="13">
        <f t="shared" si="20"/>
        <v>274.92957746478874</v>
      </c>
      <c r="AQ21" s="12">
        <f t="shared" si="16"/>
        <v>1296</v>
      </c>
      <c r="AR21" s="13">
        <f t="shared" ref="AR21:AR52" si="21">AO21+AN21+AM21+AE21+AD21+AC21</f>
        <v>418.59154929577466</v>
      </c>
      <c r="AS21" s="21"/>
    </row>
    <row r="22" spans="1:45" x14ac:dyDescent="0.25">
      <c r="A22" s="22">
        <v>45362</v>
      </c>
      <c r="B22" s="10" t="str">
        <f t="shared" si="0"/>
        <v>2024</v>
      </c>
      <c r="C22" s="10" t="str">
        <f t="shared" si="1"/>
        <v>March</v>
      </c>
      <c r="D22" s="10"/>
      <c r="E22" s="11">
        <v>118</v>
      </c>
      <c r="F22" s="12">
        <f t="shared" si="18"/>
        <v>1416</v>
      </c>
      <c r="G22" s="14" t="s">
        <v>31</v>
      </c>
      <c r="H22" s="6">
        <v>285</v>
      </c>
      <c r="I22" s="6">
        <v>57</v>
      </c>
      <c r="J22" s="6">
        <f t="shared" si="2"/>
        <v>1035</v>
      </c>
      <c r="K22" s="6"/>
      <c r="L22" s="6">
        <v>722</v>
      </c>
      <c r="M22" s="6"/>
      <c r="N22" s="6">
        <v>313</v>
      </c>
      <c r="O22" s="6"/>
      <c r="P22" s="6">
        <v>574</v>
      </c>
      <c r="Q22" s="6">
        <v>0</v>
      </c>
      <c r="R22" s="6">
        <v>0</v>
      </c>
      <c r="S22" s="6">
        <v>0</v>
      </c>
      <c r="T22" s="6">
        <v>0</v>
      </c>
      <c r="U22" s="14" t="s">
        <v>132</v>
      </c>
      <c r="V22" s="14"/>
      <c r="W22" s="6">
        <v>9</v>
      </c>
      <c r="X22" s="6">
        <v>6.6</v>
      </c>
      <c r="Y22" s="15">
        <f t="shared" si="3"/>
        <v>0.12222222222222222</v>
      </c>
      <c r="Z22" s="16">
        <f t="shared" si="4"/>
        <v>0.73333333333333328</v>
      </c>
      <c r="AA22" s="16"/>
      <c r="AB22" s="16"/>
      <c r="AC22" s="13">
        <f t="shared" si="5"/>
        <v>0</v>
      </c>
      <c r="AD22" s="13">
        <f t="shared" si="6"/>
        <v>43.181818181818187</v>
      </c>
      <c r="AE22" s="13">
        <f t="shared" si="7"/>
        <v>156.81818181818181</v>
      </c>
      <c r="AF22" s="12"/>
      <c r="AG22" s="12">
        <f t="shared" si="8"/>
        <v>47.424242424242429</v>
      </c>
      <c r="AH22" s="12">
        <f t="shared" si="9"/>
        <v>0</v>
      </c>
      <c r="AI22" s="12">
        <f t="shared" si="10"/>
        <v>0</v>
      </c>
      <c r="AJ22" s="12">
        <f t="shared" si="11"/>
        <v>0.221045197740113</v>
      </c>
      <c r="AK22" s="12">
        <f t="shared" si="12"/>
        <v>0</v>
      </c>
      <c r="AL22" s="12">
        <f t="shared" si="13"/>
        <v>0.221045197740113</v>
      </c>
      <c r="AM22" s="13">
        <f t="shared" si="14"/>
        <v>0</v>
      </c>
      <c r="AN22" s="13">
        <f t="shared" si="15"/>
        <v>86.969696969696969</v>
      </c>
      <c r="AO22" s="13">
        <f t="shared" si="19"/>
        <v>0</v>
      </c>
      <c r="AP22" s="13">
        <f t="shared" si="20"/>
        <v>0</v>
      </c>
      <c r="AQ22" s="12">
        <f t="shared" si="16"/>
        <v>1894</v>
      </c>
      <c r="AR22" s="13">
        <f t="shared" si="21"/>
        <v>286.969696969697</v>
      </c>
      <c r="AS22" s="21"/>
    </row>
    <row r="23" spans="1:45" x14ac:dyDescent="0.25">
      <c r="A23" s="22">
        <v>45363</v>
      </c>
      <c r="B23" s="10" t="str">
        <f t="shared" si="0"/>
        <v>2024</v>
      </c>
      <c r="C23" s="10" t="str">
        <f t="shared" si="1"/>
        <v>March</v>
      </c>
      <c r="D23" s="10"/>
      <c r="E23" s="11">
        <v>225</v>
      </c>
      <c r="F23" s="12">
        <f t="shared" si="18"/>
        <v>2700</v>
      </c>
      <c r="G23" s="14" t="s">
        <v>31</v>
      </c>
      <c r="H23" s="6">
        <v>275</v>
      </c>
      <c r="I23" s="6">
        <v>57</v>
      </c>
      <c r="J23" s="6">
        <f t="shared" si="2"/>
        <v>1601</v>
      </c>
      <c r="K23" s="6"/>
      <c r="L23" s="6">
        <v>1196</v>
      </c>
      <c r="M23" s="6"/>
      <c r="N23" s="6">
        <v>405</v>
      </c>
      <c r="O23" s="6"/>
      <c r="P23" s="6">
        <v>1172</v>
      </c>
      <c r="Q23" s="6">
        <v>0</v>
      </c>
      <c r="R23" s="6">
        <v>0</v>
      </c>
      <c r="S23" s="6">
        <v>0</v>
      </c>
      <c r="T23" s="6">
        <v>0</v>
      </c>
      <c r="U23" s="14" t="s">
        <v>132</v>
      </c>
      <c r="V23" s="14"/>
      <c r="W23" s="6">
        <v>9</v>
      </c>
      <c r="X23" s="6">
        <v>6.7</v>
      </c>
      <c r="Y23" s="15">
        <f t="shared" si="3"/>
        <v>0.12407407407407407</v>
      </c>
      <c r="Z23" s="16">
        <f t="shared" si="4"/>
        <v>0.74444444444444446</v>
      </c>
      <c r="AA23" s="16"/>
      <c r="AB23" s="16"/>
      <c r="AC23" s="13">
        <f t="shared" si="5"/>
        <v>0</v>
      </c>
      <c r="AD23" s="13">
        <f t="shared" si="6"/>
        <v>41.044776119402982</v>
      </c>
      <c r="AE23" s="13">
        <f t="shared" si="7"/>
        <v>238.955223880597</v>
      </c>
      <c r="AF23" s="12"/>
      <c r="AG23" s="12">
        <f t="shared" si="8"/>
        <v>60.447761194029852</v>
      </c>
      <c r="AH23" s="12">
        <f t="shared" si="9"/>
        <v>0</v>
      </c>
      <c r="AI23" s="12">
        <f t="shared" si="10"/>
        <v>0</v>
      </c>
      <c r="AJ23" s="12">
        <f t="shared" si="11"/>
        <v>0.15</v>
      </c>
      <c r="AK23" s="12">
        <f t="shared" si="12"/>
        <v>0</v>
      </c>
      <c r="AL23" s="12">
        <f t="shared" si="13"/>
        <v>0.15</v>
      </c>
      <c r="AM23" s="13">
        <f t="shared" si="14"/>
        <v>0</v>
      </c>
      <c r="AN23" s="13">
        <f t="shared" si="15"/>
        <v>174.92537313432837</v>
      </c>
      <c r="AO23" s="13">
        <f t="shared" si="19"/>
        <v>0</v>
      </c>
      <c r="AP23" s="13">
        <f t="shared" si="20"/>
        <v>0</v>
      </c>
      <c r="AQ23" s="12">
        <f t="shared" si="16"/>
        <v>3048</v>
      </c>
      <c r="AR23" s="13">
        <f t="shared" si="21"/>
        <v>454.92537313432831</v>
      </c>
      <c r="AS23" s="21"/>
    </row>
    <row r="24" spans="1:45" x14ac:dyDescent="0.25">
      <c r="A24" s="22">
        <v>45376</v>
      </c>
      <c r="B24" s="10" t="str">
        <f t="shared" si="0"/>
        <v>2024</v>
      </c>
      <c r="C24" s="10" t="str">
        <f t="shared" si="1"/>
        <v>March</v>
      </c>
      <c r="D24" s="10"/>
      <c r="E24" s="11">
        <v>179</v>
      </c>
      <c r="F24" s="12">
        <f t="shared" si="18"/>
        <v>2148</v>
      </c>
      <c r="G24" s="14" t="s">
        <v>31</v>
      </c>
      <c r="H24" s="6">
        <v>75</v>
      </c>
      <c r="I24" s="6">
        <v>57</v>
      </c>
      <c r="J24" s="6">
        <f t="shared" si="2"/>
        <v>1215</v>
      </c>
      <c r="K24" s="6"/>
      <c r="L24" s="6">
        <v>1158</v>
      </c>
      <c r="M24" s="6"/>
      <c r="N24" s="6">
        <v>57</v>
      </c>
      <c r="O24" s="6"/>
      <c r="P24" s="6">
        <v>1435</v>
      </c>
      <c r="Q24" s="6">
        <v>0</v>
      </c>
      <c r="R24" s="6">
        <v>1141</v>
      </c>
      <c r="S24" s="6">
        <v>0</v>
      </c>
      <c r="T24" s="6">
        <v>0</v>
      </c>
      <c r="U24" s="14" t="s">
        <v>132</v>
      </c>
      <c r="V24" s="14"/>
      <c r="W24" s="6">
        <v>9</v>
      </c>
      <c r="X24" s="6">
        <v>8.1999999999999993</v>
      </c>
      <c r="Y24" s="15">
        <f t="shared" si="3"/>
        <v>0.15185185185185185</v>
      </c>
      <c r="Z24" s="16">
        <f t="shared" si="4"/>
        <v>0.91111111111111098</v>
      </c>
      <c r="AA24" s="16"/>
      <c r="AB24" s="16"/>
      <c r="AC24" s="13">
        <f t="shared" si="5"/>
        <v>0</v>
      </c>
      <c r="AD24" s="13">
        <f t="shared" si="6"/>
        <v>9.1463414634146343</v>
      </c>
      <c r="AE24" s="13">
        <f t="shared" si="7"/>
        <v>148.17073170731709</v>
      </c>
      <c r="AF24" s="12"/>
      <c r="AG24" s="12">
        <f t="shared" si="8"/>
        <v>6.9512195121951228</v>
      </c>
      <c r="AH24" s="12">
        <f t="shared" si="9"/>
        <v>0</v>
      </c>
      <c r="AI24" s="12">
        <f t="shared" si="10"/>
        <v>0</v>
      </c>
      <c r="AJ24" s="12">
        <f t="shared" si="11"/>
        <v>2.6536312849162011E-2</v>
      </c>
      <c r="AK24" s="12">
        <f t="shared" si="12"/>
        <v>0</v>
      </c>
      <c r="AL24" s="12">
        <f t="shared" si="13"/>
        <v>2.6536312849162011E-2</v>
      </c>
      <c r="AM24" s="13">
        <f t="shared" si="14"/>
        <v>139.14634146341464</v>
      </c>
      <c r="AN24" s="13">
        <f t="shared" si="15"/>
        <v>175.00000000000003</v>
      </c>
      <c r="AO24" s="13">
        <f t="shared" si="19"/>
        <v>0</v>
      </c>
      <c r="AP24" s="13">
        <f t="shared" si="20"/>
        <v>0</v>
      </c>
      <c r="AQ24" s="12">
        <f t="shared" si="16"/>
        <v>3866</v>
      </c>
      <c r="AR24" s="13">
        <f t="shared" si="21"/>
        <v>471.46341463414637</v>
      </c>
      <c r="AS24" s="21"/>
    </row>
    <row r="25" spans="1:45" x14ac:dyDescent="0.25">
      <c r="A25" s="22">
        <v>45379</v>
      </c>
      <c r="B25" s="10" t="str">
        <f t="shared" si="0"/>
        <v>2024</v>
      </c>
      <c r="C25" s="10" t="str">
        <f t="shared" si="1"/>
        <v>March</v>
      </c>
      <c r="D25" s="10"/>
      <c r="E25" s="11">
        <v>143</v>
      </c>
      <c r="F25" s="12">
        <f t="shared" si="18"/>
        <v>1716</v>
      </c>
      <c r="G25" s="14" t="s">
        <v>31</v>
      </c>
      <c r="H25" s="6">
        <v>180</v>
      </c>
      <c r="I25" s="6">
        <v>57</v>
      </c>
      <c r="J25" s="6">
        <f t="shared" si="2"/>
        <v>1284</v>
      </c>
      <c r="K25" s="6"/>
      <c r="L25" s="6">
        <v>991</v>
      </c>
      <c r="M25" s="6"/>
      <c r="N25" s="6">
        <v>293</v>
      </c>
      <c r="O25" s="6"/>
      <c r="P25" s="6">
        <v>726</v>
      </c>
      <c r="Q25" s="6">
        <v>0</v>
      </c>
      <c r="R25" s="6">
        <v>0</v>
      </c>
      <c r="S25" s="6">
        <v>0</v>
      </c>
      <c r="T25" s="6">
        <v>0</v>
      </c>
      <c r="U25" s="14" t="s">
        <v>32</v>
      </c>
      <c r="V25" s="14"/>
      <c r="W25" s="6">
        <v>9</v>
      </c>
      <c r="X25" s="6">
        <v>4.0999999999999996</v>
      </c>
      <c r="Y25" s="15">
        <f t="shared" si="3"/>
        <v>7.5925925925925924E-2</v>
      </c>
      <c r="Z25" s="16">
        <f t="shared" si="4"/>
        <v>0.45555555555555549</v>
      </c>
      <c r="AA25" s="16"/>
      <c r="AB25" s="16"/>
      <c r="AC25" s="13">
        <f t="shared" si="5"/>
        <v>0</v>
      </c>
      <c r="AD25" s="13">
        <f t="shared" si="6"/>
        <v>43.902439024390247</v>
      </c>
      <c r="AE25" s="13">
        <f t="shared" si="7"/>
        <v>313.17073170731709</v>
      </c>
      <c r="AF25" s="12"/>
      <c r="AG25" s="12">
        <f t="shared" si="8"/>
        <v>71.463414634146346</v>
      </c>
      <c r="AH25" s="12">
        <f t="shared" si="9"/>
        <v>0</v>
      </c>
      <c r="AI25" s="12">
        <f t="shared" si="10"/>
        <v>0</v>
      </c>
      <c r="AJ25" s="12">
        <f t="shared" si="11"/>
        <v>0.17074592074592074</v>
      </c>
      <c r="AK25" s="12">
        <f t="shared" si="12"/>
        <v>0</v>
      </c>
      <c r="AL25" s="12">
        <f t="shared" si="13"/>
        <v>0.17074592074592074</v>
      </c>
      <c r="AM25" s="13">
        <f t="shared" si="14"/>
        <v>0</v>
      </c>
      <c r="AN25" s="13">
        <f t="shared" si="15"/>
        <v>177.07317073170734</v>
      </c>
      <c r="AO25" s="13">
        <f t="shared" si="19"/>
        <v>0</v>
      </c>
      <c r="AP25" s="13">
        <f t="shared" si="20"/>
        <v>0</v>
      </c>
      <c r="AQ25" s="12">
        <f t="shared" si="16"/>
        <v>2190</v>
      </c>
      <c r="AR25" s="13">
        <f t="shared" si="21"/>
        <v>534.14634146341461</v>
      </c>
      <c r="AS25" s="21"/>
    </row>
    <row r="26" spans="1:45" x14ac:dyDescent="0.25">
      <c r="A26" s="22">
        <v>45380</v>
      </c>
      <c r="B26" s="10" t="str">
        <f t="shared" si="0"/>
        <v>2024</v>
      </c>
      <c r="C26" s="10" t="str">
        <f t="shared" si="1"/>
        <v>March</v>
      </c>
      <c r="D26" s="10"/>
      <c r="E26" s="11">
        <v>207</v>
      </c>
      <c r="F26" s="12">
        <f t="shared" si="18"/>
        <v>2484</v>
      </c>
      <c r="G26" s="14" t="s">
        <v>31</v>
      </c>
      <c r="H26" s="6">
        <v>195</v>
      </c>
      <c r="I26" s="6">
        <v>57</v>
      </c>
      <c r="J26" s="6">
        <f t="shared" si="2"/>
        <v>1547</v>
      </c>
      <c r="K26" s="6"/>
      <c r="L26" s="6">
        <v>1176</v>
      </c>
      <c r="M26" s="6"/>
      <c r="N26" s="6">
        <v>371</v>
      </c>
      <c r="O26" s="6"/>
      <c r="P26" s="6">
        <v>1050</v>
      </c>
      <c r="Q26" s="6">
        <v>0</v>
      </c>
      <c r="R26" s="6">
        <v>0</v>
      </c>
      <c r="S26" s="6">
        <v>0</v>
      </c>
      <c r="T26" s="6">
        <v>0</v>
      </c>
      <c r="U26" s="14" t="s">
        <v>32</v>
      </c>
      <c r="V26" s="14"/>
      <c r="W26" s="6">
        <v>7</v>
      </c>
      <c r="X26" s="6">
        <v>6</v>
      </c>
      <c r="Y26" s="15">
        <f t="shared" si="3"/>
        <v>0.14285714285714285</v>
      </c>
      <c r="Z26" s="16">
        <f t="shared" si="4"/>
        <v>0.8571428571428571</v>
      </c>
      <c r="AA26" s="16"/>
      <c r="AB26" s="16"/>
      <c r="AC26" s="13">
        <f t="shared" si="5"/>
        <v>0</v>
      </c>
      <c r="AD26" s="13">
        <f t="shared" si="6"/>
        <v>32.5</v>
      </c>
      <c r="AE26" s="13">
        <f t="shared" si="7"/>
        <v>257.83333333333331</v>
      </c>
      <c r="AF26" s="12"/>
      <c r="AG26" s="12">
        <f t="shared" si="8"/>
        <v>61.833333333333336</v>
      </c>
      <c r="AH26" s="12">
        <f t="shared" si="9"/>
        <v>0</v>
      </c>
      <c r="AI26" s="12">
        <f t="shared" si="10"/>
        <v>0</v>
      </c>
      <c r="AJ26" s="12">
        <f t="shared" si="11"/>
        <v>0.14935587761674718</v>
      </c>
      <c r="AK26" s="12">
        <f t="shared" si="12"/>
        <v>0</v>
      </c>
      <c r="AL26" s="12">
        <f t="shared" si="13"/>
        <v>0.14935587761674718</v>
      </c>
      <c r="AM26" s="13">
        <f t="shared" si="14"/>
        <v>0</v>
      </c>
      <c r="AN26" s="13">
        <f t="shared" si="15"/>
        <v>175</v>
      </c>
      <c r="AO26" s="13">
        <f t="shared" si="19"/>
        <v>0</v>
      </c>
      <c r="AP26" s="13">
        <f t="shared" si="20"/>
        <v>0</v>
      </c>
      <c r="AQ26" s="12">
        <f t="shared" si="16"/>
        <v>2792</v>
      </c>
      <c r="AR26" s="13">
        <f t="shared" si="21"/>
        <v>465.33333333333331</v>
      </c>
      <c r="AS26" s="21"/>
    </row>
    <row r="27" spans="1:45" x14ac:dyDescent="0.25">
      <c r="A27" s="22">
        <v>45383</v>
      </c>
      <c r="B27" s="10" t="str">
        <f t="shared" si="0"/>
        <v>2024</v>
      </c>
      <c r="C27" s="10" t="str">
        <f t="shared" si="1"/>
        <v>April</v>
      </c>
      <c r="D27" s="10"/>
      <c r="E27" s="11">
        <v>249</v>
      </c>
      <c r="F27" s="12">
        <f t="shared" si="18"/>
        <v>2988</v>
      </c>
      <c r="G27" s="14" t="s">
        <v>31</v>
      </c>
      <c r="H27" s="6">
        <v>79</v>
      </c>
      <c r="I27" s="6">
        <v>57</v>
      </c>
      <c r="J27" s="6">
        <f t="shared" si="2"/>
        <v>1500</v>
      </c>
      <c r="K27" s="6"/>
      <c r="L27" s="6">
        <v>1500</v>
      </c>
      <c r="M27" s="6"/>
      <c r="N27" s="6">
        <v>0</v>
      </c>
      <c r="O27" s="6"/>
      <c r="P27" s="6">
        <v>1470</v>
      </c>
      <c r="Q27" s="6">
        <v>0</v>
      </c>
      <c r="R27" s="6">
        <v>1470</v>
      </c>
      <c r="S27" s="6">
        <v>0</v>
      </c>
      <c r="T27" s="6">
        <v>0</v>
      </c>
      <c r="U27" s="14" t="s">
        <v>32</v>
      </c>
      <c r="V27" s="14"/>
      <c r="W27" s="6">
        <v>9</v>
      </c>
      <c r="X27" s="6">
        <v>8.4</v>
      </c>
      <c r="Y27" s="15">
        <f t="shared" si="3"/>
        <v>0.15555555555555556</v>
      </c>
      <c r="Z27" s="16">
        <f t="shared" si="4"/>
        <v>0.93333333333333335</v>
      </c>
      <c r="AA27" s="16"/>
      <c r="AB27" s="16"/>
      <c r="AC27" s="13">
        <f t="shared" si="5"/>
        <v>0</v>
      </c>
      <c r="AD27" s="13">
        <f t="shared" si="6"/>
        <v>9.4047619047619051</v>
      </c>
      <c r="AE27" s="13">
        <f t="shared" si="7"/>
        <v>178.57142857142856</v>
      </c>
      <c r="AF27" s="12"/>
      <c r="AG27" s="12"/>
      <c r="AH27" s="12">
        <f t="shared" si="9"/>
        <v>0</v>
      </c>
      <c r="AI27" s="12">
        <f t="shared" si="10"/>
        <v>0</v>
      </c>
      <c r="AJ27" s="12">
        <f t="shared" si="11"/>
        <v>0</v>
      </c>
      <c r="AK27" s="12">
        <f t="shared" si="12"/>
        <v>0</v>
      </c>
      <c r="AL27" s="12">
        <f t="shared" si="13"/>
        <v>0</v>
      </c>
      <c r="AM27" s="13">
        <f t="shared" si="14"/>
        <v>175</v>
      </c>
      <c r="AN27" s="13">
        <f t="shared" si="15"/>
        <v>175</v>
      </c>
      <c r="AO27" s="13">
        <f t="shared" si="19"/>
        <v>0</v>
      </c>
      <c r="AP27" s="13">
        <f t="shared" si="20"/>
        <v>0</v>
      </c>
      <c r="AQ27" s="12">
        <f t="shared" si="16"/>
        <v>4519</v>
      </c>
      <c r="AR27" s="13">
        <f t="shared" si="21"/>
        <v>537.97619047619048</v>
      </c>
      <c r="AS27" s="21" t="s">
        <v>164</v>
      </c>
    </row>
    <row r="28" spans="1:45" x14ac:dyDescent="0.25">
      <c r="A28" s="24">
        <v>45384</v>
      </c>
      <c r="B28" s="10" t="str">
        <f t="shared" si="0"/>
        <v>2024</v>
      </c>
      <c r="C28" s="10" t="str">
        <f t="shared" si="1"/>
        <v>April</v>
      </c>
      <c r="D28" s="10"/>
      <c r="E28" s="11">
        <v>190</v>
      </c>
      <c r="F28" s="12">
        <f t="shared" si="18"/>
        <v>2280</v>
      </c>
      <c r="G28" s="14" t="s">
        <v>31</v>
      </c>
      <c r="H28" s="6">
        <v>60</v>
      </c>
      <c r="I28" s="6">
        <v>57</v>
      </c>
      <c r="J28" s="6">
        <f t="shared" si="2"/>
        <v>1153</v>
      </c>
      <c r="K28" s="6"/>
      <c r="L28" s="6">
        <v>1153</v>
      </c>
      <c r="M28" s="6"/>
      <c r="N28" s="6">
        <v>0</v>
      </c>
      <c r="O28" s="6"/>
      <c r="P28" s="6">
        <v>1163</v>
      </c>
      <c r="Q28" s="6">
        <v>0</v>
      </c>
      <c r="R28" s="6">
        <v>1140</v>
      </c>
      <c r="S28" s="6">
        <v>0</v>
      </c>
      <c r="T28" s="6">
        <v>0</v>
      </c>
      <c r="U28" s="14" t="s">
        <v>32</v>
      </c>
      <c r="V28" s="14"/>
      <c r="W28" s="6">
        <v>9</v>
      </c>
      <c r="X28" s="6">
        <v>6.6</v>
      </c>
      <c r="Y28" s="15">
        <f t="shared" si="3"/>
        <v>0.12222222222222222</v>
      </c>
      <c r="Z28" s="16">
        <f t="shared" si="4"/>
        <v>0.73333333333333328</v>
      </c>
      <c r="AA28" s="16"/>
      <c r="AB28" s="16"/>
      <c r="AC28" s="13">
        <f t="shared" si="5"/>
        <v>0</v>
      </c>
      <c r="AD28" s="13">
        <f t="shared" si="6"/>
        <v>9.0909090909090917</v>
      </c>
      <c r="AE28" s="13">
        <f t="shared" si="7"/>
        <v>174.69696969696972</v>
      </c>
      <c r="AF28" s="12"/>
      <c r="AG28" s="12"/>
      <c r="AH28" s="12">
        <f t="shared" si="9"/>
        <v>0</v>
      </c>
      <c r="AI28" s="12">
        <f t="shared" si="10"/>
        <v>0</v>
      </c>
      <c r="AJ28" s="12">
        <f t="shared" si="11"/>
        <v>0</v>
      </c>
      <c r="AK28" s="12">
        <f t="shared" si="12"/>
        <v>0</v>
      </c>
      <c r="AL28" s="12">
        <f t="shared" si="13"/>
        <v>0</v>
      </c>
      <c r="AM28" s="13">
        <f t="shared" si="14"/>
        <v>172.72727272727275</v>
      </c>
      <c r="AN28" s="13">
        <f t="shared" si="15"/>
        <v>176.21212121212122</v>
      </c>
      <c r="AO28" s="13">
        <f t="shared" si="19"/>
        <v>0</v>
      </c>
      <c r="AP28" s="13">
        <f t="shared" si="20"/>
        <v>0</v>
      </c>
      <c r="AQ28" s="12">
        <f t="shared" si="16"/>
        <v>3516</v>
      </c>
      <c r="AR28" s="13">
        <f t="shared" si="21"/>
        <v>532.72727272727286</v>
      </c>
      <c r="AS28" s="21" t="s">
        <v>165</v>
      </c>
    </row>
    <row r="29" spans="1:45" x14ac:dyDescent="0.25">
      <c r="A29" s="24">
        <v>45385</v>
      </c>
      <c r="B29" s="10" t="str">
        <f t="shared" si="0"/>
        <v>2024</v>
      </c>
      <c r="C29" s="10" t="str">
        <f t="shared" si="1"/>
        <v>April</v>
      </c>
      <c r="D29" s="10"/>
      <c r="E29" s="11">
        <v>249</v>
      </c>
      <c r="F29" s="12">
        <f t="shared" si="18"/>
        <v>2988</v>
      </c>
      <c r="G29" s="14" t="s">
        <v>31</v>
      </c>
      <c r="H29" s="6">
        <v>62</v>
      </c>
      <c r="I29" s="6">
        <v>57</v>
      </c>
      <c r="J29" s="6">
        <f t="shared" si="2"/>
        <v>1581</v>
      </c>
      <c r="K29" s="6"/>
      <c r="L29" s="6">
        <v>1486</v>
      </c>
      <c r="M29" s="6"/>
      <c r="N29" s="6">
        <v>95</v>
      </c>
      <c r="O29" s="6"/>
      <c r="P29" s="6">
        <v>1417</v>
      </c>
      <c r="Q29" s="6">
        <v>0</v>
      </c>
      <c r="R29" s="6">
        <v>1000</v>
      </c>
      <c r="S29" s="6">
        <v>0</v>
      </c>
      <c r="T29" s="6">
        <v>0</v>
      </c>
      <c r="U29" s="14" t="s">
        <v>32</v>
      </c>
      <c r="V29" s="14"/>
      <c r="W29" s="6">
        <v>9</v>
      </c>
      <c r="X29" s="6">
        <v>8.1</v>
      </c>
      <c r="Y29" s="15">
        <f t="shared" si="3"/>
        <v>0.15</v>
      </c>
      <c r="Z29" s="16">
        <f t="shared" si="4"/>
        <v>0.89999999999999991</v>
      </c>
      <c r="AA29" s="16"/>
      <c r="AB29" s="16"/>
      <c r="AC29" s="13">
        <f t="shared" si="5"/>
        <v>0</v>
      </c>
      <c r="AD29" s="13">
        <f t="shared" si="6"/>
        <v>7.6543209876543212</v>
      </c>
      <c r="AE29" s="13">
        <f t="shared" si="7"/>
        <v>195.18518518518519</v>
      </c>
      <c r="AF29" s="12"/>
      <c r="AG29" s="12"/>
      <c r="AH29" s="12">
        <f t="shared" si="9"/>
        <v>0</v>
      </c>
      <c r="AI29" s="12">
        <f t="shared" si="10"/>
        <v>0</v>
      </c>
      <c r="AJ29" s="12">
        <f t="shared" si="11"/>
        <v>3.179384203480589E-2</v>
      </c>
      <c r="AK29" s="12">
        <f t="shared" si="12"/>
        <v>0</v>
      </c>
      <c r="AL29" s="12">
        <f t="shared" si="13"/>
        <v>3.179384203480589E-2</v>
      </c>
      <c r="AM29" s="13">
        <f t="shared" si="14"/>
        <v>123.4567901234568</v>
      </c>
      <c r="AN29" s="13">
        <f t="shared" si="15"/>
        <v>174.93827160493828</v>
      </c>
      <c r="AO29" s="13">
        <f t="shared" si="19"/>
        <v>0</v>
      </c>
      <c r="AP29" s="13">
        <f t="shared" si="20"/>
        <v>0</v>
      </c>
      <c r="AQ29" s="12">
        <f t="shared" si="16"/>
        <v>4060</v>
      </c>
      <c r="AR29" s="13">
        <f t="shared" si="21"/>
        <v>501.23456790123458</v>
      </c>
      <c r="AS29" s="21" t="s">
        <v>166</v>
      </c>
    </row>
    <row r="30" spans="1:45" x14ac:dyDescent="0.25">
      <c r="A30" s="22">
        <v>45390</v>
      </c>
      <c r="B30" s="10" t="str">
        <f t="shared" si="0"/>
        <v>2024</v>
      </c>
      <c r="C30" s="10" t="str">
        <f t="shared" si="1"/>
        <v>April</v>
      </c>
      <c r="D30" s="10"/>
      <c r="E30" s="11">
        <v>190</v>
      </c>
      <c r="F30" s="12">
        <f t="shared" si="18"/>
        <v>2280</v>
      </c>
      <c r="G30" s="14" t="s">
        <v>31</v>
      </c>
      <c r="H30" s="6">
        <v>109</v>
      </c>
      <c r="I30" s="6">
        <v>57</v>
      </c>
      <c r="J30" s="6">
        <f t="shared" si="2"/>
        <v>1447</v>
      </c>
      <c r="K30" s="6"/>
      <c r="L30" s="6">
        <v>1072</v>
      </c>
      <c r="M30" s="6"/>
      <c r="N30" s="6">
        <v>375</v>
      </c>
      <c r="O30" s="6"/>
      <c r="P30" s="6">
        <v>1102</v>
      </c>
      <c r="Q30" s="6">
        <v>0</v>
      </c>
      <c r="R30" s="6">
        <v>0</v>
      </c>
      <c r="S30" s="6">
        <v>0</v>
      </c>
      <c r="T30" s="6">
        <v>0</v>
      </c>
      <c r="U30" s="14" t="s">
        <v>32</v>
      </c>
      <c r="V30" s="14"/>
      <c r="W30" s="6">
        <v>8</v>
      </c>
      <c r="X30" s="6">
        <v>6.3</v>
      </c>
      <c r="Y30" s="15">
        <f t="shared" si="3"/>
        <v>0.13125000000000001</v>
      </c>
      <c r="Z30" s="16">
        <f t="shared" si="4"/>
        <v>0.78749999999999998</v>
      </c>
      <c r="AA30" s="16"/>
      <c r="AB30" s="16"/>
      <c r="AC30" s="13">
        <f t="shared" si="5"/>
        <v>0</v>
      </c>
      <c r="AD30" s="13">
        <f t="shared" si="6"/>
        <v>17.301587301587301</v>
      </c>
      <c r="AE30" s="13">
        <f t="shared" si="7"/>
        <v>229.6825396825397</v>
      </c>
      <c r="AF30" s="12"/>
      <c r="AG30" s="12">
        <f t="shared" si="8"/>
        <v>59.523809523809526</v>
      </c>
      <c r="AH30" s="12">
        <f t="shared" si="9"/>
        <v>0</v>
      </c>
      <c r="AI30" s="12">
        <f t="shared" si="10"/>
        <v>0</v>
      </c>
      <c r="AJ30" s="12">
        <f t="shared" si="11"/>
        <v>0.16447368421052633</v>
      </c>
      <c r="AK30" s="12">
        <f t="shared" si="12"/>
        <v>0</v>
      </c>
      <c r="AL30" s="12">
        <f t="shared" si="13"/>
        <v>0.16447368421052633</v>
      </c>
      <c r="AM30" s="13">
        <f t="shared" si="14"/>
        <v>0</v>
      </c>
      <c r="AN30" s="13">
        <f t="shared" si="15"/>
        <v>174.92063492063494</v>
      </c>
      <c r="AO30" s="13">
        <f t="shared" si="19"/>
        <v>0</v>
      </c>
      <c r="AP30" s="13">
        <f t="shared" si="20"/>
        <v>0</v>
      </c>
      <c r="AQ30" s="12">
        <f t="shared" si="16"/>
        <v>2658</v>
      </c>
      <c r="AR30" s="13">
        <f t="shared" si="21"/>
        <v>421.90476190476193</v>
      </c>
      <c r="AS30" s="21" t="s">
        <v>167</v>
      </c>
    </row>
    <row r="31" spans="1:45" x14ac:dyDescent="0.25">
      <c r="A31" s="22">
        <v>45398</v>
      </c>
      <c r="B31" s="10" t="str">
        <f t="shared" si="0"/>
        <v>2024</v>
      </c>
      <c r="C31" s="10" t="str">
        <f t="shared" si="1"/>
        <v>April</v>
      </c>
      <c r="D31" s="10"/>
      <c r="E31" s="11">
        <v>187</v>
      </c>
      <c r="F31" s="12">
        <f t="shared" si="18"/>
        <v>2244</v>
      </c>
      <c r="G31" s="14" t="s">
        <v>31</v>
      </c>
      <c r="H31" s="6">
        <v>146</v>
      </c>
      <c r="I31" s="6">
        <v>57</v>
      </c>
      <c r="J31" s="6">
        <f t="shared" si="2"/>
        <v>1448</v>
      </c>
      <c r="K31" s="6"/>
      <c r="L31" s="6">
        <v>1120</v>
      </c>
      <c r="M31" s="6"/>
      <c r="N31" s="6">
        <v>328</v>
      </c>
      <c r="O31" s="6"/>
      <c r="P31" s="6">
        <v>1242</v>
      </c>
      <c r="Q31" s="6">
        <v>0</v>
      </c>
      <c r="R31" s="6">
        <v>0</v>
      </c>
      <c r="S31" s="6">
        <v>0</v>
      </c>
      <c r="T31" s="6">
        <v>0</v>
      </c>
      <c r="U31" s="14" t="s">
        <v>32</v>
      </c>
      <c r="V31" s="14"/>
      <c r="W31" s="6">
        <v>8</v>
      </c>
      <c r="X31" s="6">
        <v>7.1</v>
      </c>
      <c r="Y31" s="15">
        <f t="shared" si="3"/>
        <v>0.14791666666666667</v>
      </c>
      <c r="Z31" s="16">
        <f t="shared" si="4"/>
        <v>0.88749999999999996</v>
      </c>
      <c r="AA31" s="16"/>
      <c r="AB31" s="16"/>
      <c r="AC31" s="13">
        <f t="shared" si="5"/>
        <v>0</v>
      </c>
      <c r="AD31" s="13">
        <f t="shared" si="6"/>
        <v>20.563380281690144</v>
      </c>
      <c r="AE31" s="13">
        <f t="shared" si="7"/>
        <v>203.94366197183101</v>
      </c>
      <c r="AF31" s="12"/>
      <c r="AG31" s="12">
        <f t="shared" si="8"/>
        <v>46.197183098591552</v>
      </c>
      <c r="AH31" s="12">
        <f t="shared" si="9"/>
        <v>0</v>
      </c>
      <c r="AI31" s="12">
        <f t="shared" si="10"/>
        <v>0</v>
      </c>
      <c r="AJ31" s="12">
        <f t="shared" si="11"/>
        <v>0.14616755793226383</v>
      </c>
      <c r="AK31" s="12">
        <f t="shared" si="12"/>
        <v>0</v>
      </c>
      <c r="AL31" s="12">
        <f t="shared" si="13"/>
        <v>0.14616755793226383</v>
      </c>
      <c r="AM31" s="13">
        <f t="shared" si="14"/>
        <v>0</v>
      </c>
      <c r="AN31" s="13">
        <f t="shared" si="15"/>
        <v>174.92957746478874</v>
      </c>
      <c r="AO31" s="13">
        <f t="shared" si="19"/>
        <v>0</v>
      </c>
      <c r="AP31" s="13">
        <f t="shared" si="20"/>
        <v>0</v>
      </c>
      <c r="AQ31" s="12">
        <f t="shared" si="16"/>
        <v>2836</v>
      </c>
      <c r="AR31" s="13">
        <f t="shared" si="21"/>
        <v>399.43661971830988</v>
      </c>
      <c r="AS31" s="21" t="s">
        <v>168</v>
      </c>
    </row>
    <row r="32" spans="1:45" x14ac:dyDescent="0.25">
      <c r="A32" s="22">
        <v>45399</v>
      </c>
      <c r="B32" s="10" t="str">
        <f t="shared" si="0"/>
        <v>2024</v>
      </c>
      <c r="C32" s="10" t="str">
        <f t="shared" si="1"/>
        <v>April</v>
      </c>
      <c r="D32" s="10"/>
      <c r="E32" s="11">
        <v>189</v>
      </c>
      <c r="F32" s="12">
        <f t="shared" si="18"/>
        <v>2268</v>
      </c>
      <c r="G32" s="14" t="s">
        <v>31</v>
      </c>
      <c r="H32" s="6">
        <v>149</v>
      </c>
      <c r="I32" s="6">
        <v>57</v>
      </c>
      <c r="J32" s="6">
        <f t="shared" si="2"/>
        <v>1434</v>
      </c>
      <c r="K32" s="6"/>
      <c r="L32" s="6">
        <v>1076</v>
      </c>
      <c r="M32" s="6"/>
      <c r="N32" s="6">
        <v>358</v>
      </c>
      <c r="O32" s="6"/>
      <c r="P32" s="6">
        <v>1155</v>
      </c>
      <c r="Q32" s="6">
        <v>0</v>
      </c>
      <c r="R32" s="6">
        <v>0</v>
      </c>
      <c r="S32" s="6">
        <v>0</v>
      </c>
      <c r="T32" s="6">
        <v>0</v>
      </c>
      <c r="U32" s="14" t="s">
        <v>43</v>
      </c>
      <c r="V32" s="14"/>
      <c r="W32" s="6">
        <v>8</v>
      </c>
      <c r="X32" s="6">
        <v>6.6</v>
      </c>
      <c r="Y32" s="15">
        <f t="shared" si="3"/>
        <v>0.13749999999999998</v>
      </c>
      <c r="Z32" s="16">
        <f t="shared" si="4"/>
        <v>0.82499999999999996</v>
      </c>
      <c r="AA32" s="16"/>
      <c r="AB32" s="16"/>
      <c r="AC32" s="13">
        <f t="shared" si="5"/>
        <v>0</v>
      </c>
      <c r="AD32" s="13">
        <f t="shared" si="6"/>
        <v>22.575757575757578</v>
      </c>
      <c r="AE32" s="13">
        <f t="shared" si="7"/>
        <v>217.27272727272728</v>
      </c>
      <c r="AF32" s="12"/>
      <c r="AG32" s="12">
        <f t="shared" si="8"/>
        <v>54.242424242424242</v>
      </c>
      <c r="AH32" s="12">
        <f t="shared" si="9"/>
        <v>0</v>
      </c>
      <c r="AI32" s="12">
        <f t="shared" si="10"/>
        <v>0</v>
      </c>
      <c r="AJ32" s="12">
        <f t="shared" si="11"/>
        <v>0.15784832451499117</v>
      </c>
      <c r="AK32" s="12">
        <f t="shared" si="12"/>
        <v>0</v>
      </c>
      <c r="AL32" s="12">
        <f t="shared" si="13"/>
        <v>0.15784832451499117</v>
      </c>
      <c r="AM32" s="13">
        <f t="shared" si="14"/>
        <v>0</v>
      </c>
      <c r="AN32" s="13">
        <f t="shared" si="15"/>
        <v>175</v>
      </c>
      <c r="AO32" s="13">
        <f t="shared" si="19"/>
        <v>0</v>
      </c>
      <c r="AP32" s="13">
        <f t="shared" si="20"/>
        <v>0</v>
      </c>
      <c r="AQ32" s="12">
        <f t="shared" si="16"/>
        <v>2738</v>
      </c>
      <c r="AR32" s="13">
        <f t="shared" si="21"/>
        <v>414.84848484848482</v>
      </c>
      <c r="AS32" s="21" t="s">
        <v>169</v>
      </c>
    </row>
    <row r="33" spans="1:45" x14ac:dyDescent="0.25">
      <c r="A33" s="22">
        <v>45404</v>
      </c>
      <c r="B33" s="10" t="str">
        <f t="shared" si="0"/>
        <v>2024</v>
      </c>
      <c r="C33" s="10" t="str">
        <f t="shared" si="1"/>
        <v>April</v>
      </c>
      <c r="D33" s="10"/>
      <c r="E33" s="11">
        <v>115</v>
      </c>
      <c r="F33" s="12">
        <f t="shared" si="18"/>
        <v>1380</v>
      </c>
      <c r="G33" s="14" t="s">
        <v>31</v>
      </c>
      <c r="H33" s="6">
        <v>93</v>
      </c>
      <c r="I33" s="6">
        <v>57</v>
      </c>
      <c r="J33" s="6">
        <f t="shared" si="2"/>
        <v>893</v>
      </c>
      <c r="K33" s="6"/>
      <c r="L33" s="6">
        <v>636</v>
      </c>
      <c r="M33" s="6"/>
      <c r="N33" s="6">
        <v>257</v>
      </c>
      <c r="O33" s="6"/>
      <c r="P33" s="6">
        <v>659</v>
      </c>
      <c r="Q33" s="6">
        <v>0</v>
      </c>
      <c r="R33" s="6">
        <v>0</v>
      </c>
      <c r="S33" s="6">
        <v>0</v>
      </c>
      <c r="T33" s="6">
        <v>0</v>
      </c>
      <c r="U33" s="14" t="s">
        <v>43</v>
      </c>
      <c r="V33" s="14"/>
      <c r="W33" s="6">
        <v>5</v>
      </c>
      <c r="X33" s="6">
        <v>3.7</v>
      </c>
      <c r="Y33" s="15">
        <f t="shared" si="3"/>
        <v>0.12333333333333334</v>
      </c>
      <c r="Z33" s="16">
        <f t="shared" si="4"/>
        <v>0.74</v>
      </c>
      <c r="AA33" s="16"/>
      <c r="AB33" s="16"/>
      <c r="AC33" s="13">
        <f t="shared" si="5"/>
        <v>0</v>
      </c>
      <c r="AD33" s="13">
        <f t="shared" si="6"/>
        <v>25.135135135135133</v>
      </c>
      <c r="AE33" s="13">
        <f t="shared" si="7"/>
        <v>241.35135135135133</v>
      </c>
      <c r="AF33" s="12"/>
      <c r="AG33" s="12">
        <f t="shared" si="8"/>
        <v>69.459459459459453</v>
      </c>
      <c r="AH33" s="12">
        <f t="shared" si="9"/>
        <v>0</v>
      </c>
      <c r="AI33" s="12">
        <f t="shared" si="10"/>
        <v>0</v>
      </c>
      <c r="AJ33" s="12">
        <f t="shared" si="11"/>
        <v>0.186231884057971</v>
      </c>
      <c r="AK33" s="12">
        <f t="shared" si="12"/>
        <v>0</v>
      </c>
      <c r="AL33" s="12">
        <f t="shared" si="13"/>
        <v>0.186231884057971</v>
      </c>
      <c r="AM33" s="13">
        <f t="shared" si="14"/>
        <v>0</v>
      </c>
      <c r="AN33" s="13">
        <f t="shared" si="15"/>
        <v>178.1081081081081</v>
      </c>
      <c r="AO33" s="13">
        <f t="shared" si="19"/>
        <v>0</v>
      </c>
      <c r="AP33" s="13">
        <f t="shared" si="20"/>
        <v>0</v>
      </c>
      <c r="AQ33" s="12">
        <f t="shared" si="16"/>
        <v>1645</v>
      </c>
      <c r="AR33" s="13">
        <f t="shared" si="21"/>
        <v>444.59459459459458</v>
      </c>
      <c r="AS33" s="21" t="s">
        <v>170</v>
      </c>
    </row>
    <row r="34" spans="1:45" x14ac:dyDescent="0.25">
      <c r="A34" s="23">
        <v>45406</v>
      </c>
      <c r="B34" s="10" t="str">
        <f t="shared" ref="B34:B65" si="22">TEXT(A34,"YYYY")</f>
        <v>2024</v>
      </c>
      <c r="C34" s="10" t="str">
        <f t="shared" ref="C34:C65" si="23">TEXT(A34,"MMMM")</f>
        <v>April</v>
      </c>
      <c r="D34" s="10"/>
      <c r="E34" s="11">
        <v>216</v>
      </c>
      <c r="F34" s="12">
        <f t="shared" si="18"/>
        <v>2592</v>
      </c>
      <c r="G34" s="14" t="s">
        <v>31</v>
      </c>
      <c r="H34" s="6">
        <v>148</v>
      </c>
      <c r="I34" s="6">
        <v>57</v>
      </c>
      <c r="J34" s="6">
        <f t="shared" ref="J34:J65" si="24">L34+N34</f>
        <v>1719</v>
      </c>
      <c r="K34" s="6"/>
      <c r="L34" s="6">
        <v>1310</v>
      </c>
      <c r="M34" s="6"/>
      <c r="N34" s="6">
        <v>409</v>
      </c>
      <c r="O34" s="6"/>
      <c r="P34" s="6">
        <v>1242</v>
      </c>
      <c r="Q34" s="6">
        <v>0</v>
      </c>
      <c r="R34" s="6">
        <v>0</v>
      </c>
      <c r="S34" s="6">
        <v>0</v>
      </c>
      <c r="T34" s="6">
        <v>0</v>
      </c>
      <c r="U34" s="14" t="s">
        <v>43</v>
      </c>
      <c r="V34" s="14"/>
      <c r="W34" s="6">
        <v>9</v>
      </c>
      <c r="X34" s="6">
        <v>7.1</v>
      </c>
      <c r="Y34" s="15">
        <f t="shared" ref="Y34:Y65" si="25">SUM(X34)/(W34*X$2)</f>
        <v>0.13148148148148148</v>
      </c>
      <c r="Z34" s="16">
        <f t="shared" ref="Z34:Z65" si="26">X34/W34</f>
        <v>0.78888888888888886</v>
      </c>
      <c r="AA34" s="16"/>
      <c r="AB34" s="16"/>
      <c r="AC34" s="13">
        <f t="shared" ref="AC34:AC65" si="27">Q34/X34</f>
        <v>0</v>
      </c>
      <c r="AD34" s="13">
        <f t="shared" ref="AD34:AD65" si="28">H34/X34</f>
        <v>20.845070422535212</v>
      </c>
      <c r="AE34" s="13">
        <f t="shared" ref="AE34:AE65" si="29">J34/X34</f>
        <v>242.11267605633805</v>
      </c>
      <c r="AF34" s="12"/>
      <c r="AG34" s="12">
        <f t="shared" si="8"/>
        <v>57.605633802816904</v>
      </c>
      <c r="AH34" s="12">
        <f t="shared" si="9"/>
        <v>0</v>
      </c>
      <c r="AI34" s="12">
        <f t="shared" si="10"/>
        <v>0</v>
      </c>
      <c r="AJ34" s="12">
        <f t="shared" si="11"/>
        <v>0.15779320987654322</v>
      </c>
      <c r="AK34" s="12">
        <f t="shared" si="12"/>
        <v>0</v>
      </c>
      <c r="AL34" s="12">
        <f t="shared" si="13"/>
        <v>0.15779320987654322</v>
      </c>
      <c r="AM34" s="13">
        <f t="shared" ref="AM34:AM65" si="30">R34/X34</f>
        <v>0</v>
      </c>
      <c r="AN34" s="13">
        <f t="shared" ref="AN34:AN65" si="31">P34/X34</f>
        <v>174.92957746478874</v>
      </c>
      <c r="AO34" s="13">
        <f t="shared" si="19"/>
        <v>0</v>
      </c>
      <c r="AP34" s="13">
        <f t="shared" si="20"/>
        <v>0</v>
      </c>
      <c r="AQ34" s="12">
        <f t="shared" ref="AQ34:AQ65" si="32">R34+Q34+P34+J34+H34</f>
        <v>3109</v>
      </c>
      <c r="AR34" s="13">
        <f t="shared" si="21"/>
        <v>437.88732394366201</v>
      </c>
      <c r="AS34" s="21" t="s">
        <v>171</v>
      </c>
    </row>
    <row r="35" spans="1:45" x14ac:dyDescent="0.25">
      <c r="A35" s="22">
        <v>45407</v>
      </c>
      <c r="B35" s="10" t="str">
        <f t="shared" si="22"/>
        <v>2024</v>
      </c>
      <c r="C35" s="10" t="str">
        <f t="shared" si="23"/>
        <v>April</v>
      </c>
      <c r="D35" s="10"/>
      <c r="E35" s="11">
        <v>214</v>
      </c>
      <c r="F35" s="12">
        <f t="shared" si="18"/>
        <v>2568</v>
      </c>
      <c r="G35" s="14" t="s">
        <v>31</v>
      </c>
      <c r="H35" s="6">
        <v>160</v>
      </c>
      <c r="I35" s="6">
        <v>57</v>
      </c>
      <c r="J35" s="6">
        <f t="shared" si="24"/>
        <v>1521</v>
      </c>
      <c r="K35" s="6"/>
      <c r="L35" s="6">
        <v>1158</v>
      </c>
      <c r="M35" s="6"/>
      <c r="N35" s="6">
        <v>363</v>
      </c>
      <c r="O35" s="6"/>
      <c r="P35" s="6">
        <v>1120</v>
      </c>
      <c r="Q35" s="6">
        <v>0</v>
      </c>
      <c r="R35" s="6">
        <v>0</v>
      </c>
      <c r="S35" s="6">
        <v>0</v>
      </c>
      <c r="T35" s="6">
        <v>0</v>
      </c>
      <c r="U35" s="14" t="s">
        <v>43</v>
      </c>
      <c r="V35" s="14"/>
      <c r="W35" s="6">
        <v>7.5</v>
      </c>
      <c r="X35" s="6">
        <v>6.4</v>
      </c>
      <c r="Y35" s="15">
        <f t="shared" si="25"/>
        <v>0.14222222222222222</v>
      </c>
      <c r="Z35" s="16">
        <f t="shared" si="26"/>
        <v>0.85333333333333339</v>
      </c>
      <c r="AA35" s="16"/>
      <c r="AB35" s="16"/>
      <c r="AC35" s="13">
        <f t="shared" si="27"/>
        <v>0</v>
      </c>
      <c r="AD35" s="13">
        <f t="shared" si="28"/>
        <v>25</v>
      </c>
      <c r="AE35" s="13">
        <f t="shared" si="29"/>
        <v>237.65625</v>
      </c>
      <c r="AF35" s="12"/>
      <c r="AG35" s="12">
        <f t="shared" si="8"/>
        <v>56.71875</v>
      </c>
      <c r="AH35" s="12">
        <f t="shared" si="9"/>
        <v>0</v>
      </c>
      <c r="AI35" s="12">
        <f t="shared" si="10"/>
        <v>0</v>
      </c>
      <c r="AJ35" s="12">
        <f t="shared" si="11"/>
        <v>0.14135514018691589</v>
      </c>
      <c r="AK35" s="12">
        <f t="shared" si="12"/>
        <v>0</v>
      </c>
      <c r="AL35" s="12">
        <f t="shared" si="13"/>
        <v>0.14135514018691589</v>
      </c>
      <c r="AM35" s="13">
        <f t="shared" si="30"/>
        <v>0</v>
      </c>
      <c r="AN35" s="13">
        <f t="shared" si="31"/>
        <v>175</v>
      </c>
      <c r="AO35" s="13">
        <f t="shared" si="19"/>
        <v>0</v>
      </c>
      <c r="AP35" s="13">
        <f t="shared" si="20"/>
        <v>0</v>
      </c>
      <c r="AQ35" s="12">
        <f t="shared" si="32"/>
        <v>2801</v>
      </c>
      <c r="AR35" s="13">
        <f t="shared" si="21"/>
        <v>437.65625</v>
      </c>
      <c r="AS35" s="21" t="s">
        <v>172</v>
      </c>
    </row>
    <row r="36" spans="1:45" x14ac:dyDescent="0.25">
      <c r="A36" s="22">
        <v>45413</v>
      </c>
      <c r="B36" s="10" t="str">
        <f t="shared" si="22"/>
        <v>2024</v>
      </c>
      <c r="C36" s="10" t="str">
        <f t="shared" si="23"/>
        <v>May</v>
      </c>
      <c r="D36" s="10"/>
      <c r="E36" s="11">
        <v>154</v>
      </c>
      <c r="F36" s="12">
        <f t="shared" ref="F36:F67" si="33">E36*12</f>
        <v>1848</v>
      </c>
      <c r="G36" s="14" t="s">
        <v>31</v>
      </c>
      <c r="H36" s="6">
        <v>133</v>
      </c>
      <c r="I36" s="6">
        <v>57</v>
      </c>
      <c r="J36" s="6">
        <f t="shared" si="24"/>
        <v>1362</v>
      </c>
      <c r="K36" s="6"/>
      <c r="L36" s="6">
        <v>1100</v>
      </c>
      <c r="M36" s="6"/>
      <c r="N36" s="6">
        <v>262</v>
      </c>
      <c r="O36" s="6"/>
      <c r="P36" s="6">
        <v>1032</v>
      </c>
      <c r="Q36" s="6">
        <v>0</v>
      </c>
      <c r="R36" s="6">
        <v>0</v>
      </c>
      <c r="S36" s="6">
        <v>0</v>
      </c>
      <c r="T36" s="6">
        <v>0</v>
      </c>
      <c r="U36" s="14" t="s">
        <v>43</v>
      </c>
      <c r="V36" s="14"/>
      <c r="W36" s="6">
        <v>9</v>
      </c>
      <c r="X36" s="6">
        <v>5.9</v>
      </c>
      <c r="Y36" s="15">
        <f t="shared" si="25"/>
        <v>0.10925925925925926</v>
      </c>
      <c r="Z36" s="16">
        <f t="shared" si="26"/>
        <v>0.65555555555555556</v>
      </c>
      <c r="AA36" s="16"/>
      <c r="AB36" s="16"/>
      <c r="AC36" s="13">
        <f t="shared" si="27"/>
        <v>0</v>
      </c>
      <c r="AD36" s="13">
        <f t="shared" si="28"/>
        <v>22.542372881355931</v>
      </c>
      <c r="AE36" s="13">
        <f t="shared" si="29"/>
        <v>230.84745762711864</v>
      </c>
      <c r="AF36" s="12"/>
      <c r="AG36" s="12">
        <f t="shared" si="8"/>
        <v>44.406779661016948</v>
      </c>
      <c r="AH36" s="12">
        <f t="shared" si="9"/>
        <v>0</v>
      </c>
      <c r="AI36" s="12">
        <f t="shared" si="10"/>
        <v>0</v>
      </c>
      <c r="AJ36" s="12">
        <f t="shared" si="11"/>
        <v>0.14177489177489178</v>
      </c>
      <c r="AK36" s="12">
        <f t="shared" si="12"/>
        <v>0</v>
      </c>
      <c r="AL36" s="12">
        <f t="shared" si="13"/>
        <v>0.14177489177489178</v>
      </c>
      <c r="AM36" s="13">
        <f t="shared" si="30"/>
        <v>0</v>
      </c>
      <c r="AN36" s="13">
        <f t="shared" si="31"/>
        <v>174.91525423728814</v>
      </c>
      <c r="AO36" s="13">
        <f t="shared" si="19"/>
        <v>0</v>
      </c>
      <c r="AP36" s="13">
        <f t="shared" si="20"/>
        <v>0</v>
      </c>
      <c r="AQ36" s="12">
        <f t="shared" si="32"/>
        <v>2527</v>
      </c>
      <c r="AR36" s="13">
        <f t="shared" si="21"/>
        <v>428.30508474576277</v>
      </c>
      <c r="AS36" s="21" t="s">
        <v>173</v>
      </c>
    </row>
    <row r="37" spans="1:45" x14ac:dyDescent="0.25">
      <c r="A37" s="22">
        <v>45414</v>
      </c>
      <c r="B37" s="10" t="str">
        <f t="shared" si="22"/>
        <v>2024</v>
      </c>
      <c r="C37" s="10" t="str">
        <f t="shared" si="23"/>
        <v>May</v>
      </c>
      <c r="D37" s="10"/>
      <c r="E37" s="11">
        <v>165</v>
      </c>
      <c r="F37" s="12">
        <f t="shared" si="33"/>
        <v>1980</v>
      </c>
      <c r="G37" s="14" t="s">
        <v>31</v>
      </c>
      <c r="H37" s="6">
        <v>154</v>
      </c>
      <c r="I37" s="6">
        <v>57</v>
      </c>
      <c r="J37" s="6">
        <f t="shared" si="24"/>
        <v>1329</v>
      </c>
      <c r="K37" s="6"/>
      <c r="L37" s="6">
        <v>1009</v>
      </c>
      <c r="M37" s="6"/>
      <c r="N37" s="6">
        <v>320</v>
      </c>
      <c r="O37" s="6"/>
      <c r="P37" s="6">
        <v>1102</v>
      </c>
      <c r="Q37" s="6">
        <v>0</v>
      </c>
      <c r="R37" s="6">
        <v>0</v>
      </c>
      <c r="S37" s="6">
        <v>0</v>
      </c>
      <c r="T37" s="6">
        <v>0</v>
      </c>
      <c r="U37" s="14" t="s">
        <v>43</v>
      </c>
      <c r="V37" s="14"/>
      <c r="W37" s="6">
        <v>9</v>
      </c>
      <c r="X37" s="6">
        <v>6.3</v>
      </c>
      <c r="Y37" s="15">
        <f t="shared" si="25"/>
        <v>0.11666666666666667</v>
      </c>
      <c r="Z37" s="16">
        <f t="shared" si="26"/>
        <v>0.7</v>
      </c>
      <c r="AA37" s="16"/>
      <c r="AB37" s="16"/>
      <c r="AC37" s="13">
        <f t="shared" si="27"/>
        <v>0</v>
      </c>
      <c r="AD37" s="13">
        <f t="shared" si="28"/>
        <v>24.444444444444446</v>
      </c>
      <c r="AE37" s="13">
        <f t="shared" si="29"/>
        <v>210.95238095238096</v>
      </c>
      <c r="AF37" s="12"/>
      <c r="AG37" s="12">
        <f t="shared" si="8"/>
        <v>50.793650793650798</v>
      </c>
      <c r="AH37" s="12">
        <f t="shared" si="9"/>
        <v>0</v>
      </c>
      <c r="AI37" s="12">
        <f t="shared" si="10"/>
        <v>0</v>
      </c>
      <c r="AJ37" s="12">
        <f t="shared" si="11"/>
        <v>0.16161616161616163</v>
      </c>
      <c r="AK37" s="12">
        <f t="shared" si="12"/>
        <v>0</v>
      </c>
      <c r="AL37" s="12">
        <f t="shared" si="13"/>
        <v>0.16161616161616163</v>
      </c>
      <c r="AM37" s="13">
        <f t="shared" si="30"/>
        <v>0</v>
      </c>
      <c r="AN37" s="13">
        <f t="shared" si="31"/>
        <v>174.92063492063494</v>
      </c>
      <c r="AO37" s="13">
        <f t="shared" si="19"/>
        <v>0</v>
      </c>
      <c r="AP37" s="13">
        <f t="shared" si="20"/>
        <v>0</v>
      </c>
      <c r="AQ37" s="12">
        <f t="shared" si="32"/>
        <v>2585</v>
      </c>
      <c r="AR37" s="13">
        <f t="shared" si="21"/>
        <v>410.31746031746036</v>
      </c>
      <c r="AS37" s="21" t="s">
        <v>174</v>
      </c>
    </row>
    <row r="38" spans="1:45" x14ac:dyDescent="0.25">
      <c r="A38" s="22">
        <v>45415</v>
      </c>
      <c r="B38" s="10" t="str">
        <f t="shared" si="22"/>
        <v>2024</v>
      </c>
      <c r="C38" s="10" t="str">
        <f t="shared" si="23"/>
        <v>May</v>
      </c>
      <c r="D38" s="10"/>
      <c r="E38" s="11">
        <v>168</v>
      </c>
      <c r="F38" s="12">
        <f t="shared" si="33"/>
        <v>2016</v>
      </c>
      <c r="G38" s="14" t="s">
        <v>31</v>
      </c>
      <c r="H38" s="6">
        <v>81</v>
      </c>
      <c r="I38" s="6">
        <v>57</v>
      </c>
      <c r="J38" s="6">
        <f t="shared" si="24"/>
        <v>1118</v>
      </c>
      <c r="K38" s="6"/>
      <c r="L38" s="6">
        <v>1118</v>
      </c>
      <c r="M38" s="6"/>
      <c r="N38" s="6">
        <v>0</v>
      </c>
      <c r="O38" s="6"/>
      <c r="P38" s="6">
        <v>1268</v>
      </c>
      <c r="Q38" s="6">
        <v>0</v>
      </c>
      <c r="R38" s="6">
        <v>1011</v>
      </c>
      <c r="S38" s="6">
        <v>0</v>
      </c>
      <c r="T38" s="6">
        <v>0</v>
      </c>
      <c r="U38" s="14" t="s">
        <v>43</v>
      </c>
      <c r="V38" s="14"/>
      <c r="W38" s="6">
        <v>9</v>
      </c>
      <c r="X38" s="6">
        <v>7.2</v>
      </c>
      <c r="Y38" s="15">
        <f t="shared" si="25"/>
        <v>0.13333333333333333</v>
      </c>
      <c r="Z38" s="16">
        <f t="shared" si="26"/>
        <v>0.8</v>
      </c>
      <c r="AA38" s="16"/>
      <c r="AB38" s="16"/>
      <c r="AC38" s="13">
        <f t="shared" si="27"/>
        <v>0</v>
      </c>
      <c r="AD38" s="13">
        <f t="shared" si="28"/>
        <v>11.25</v>
      </c>
      <c r="AE38" s="13">
        <f t="shared" si="29"/>
        <v>155.27777777777777</v>
      </c>
      <c r="AF38" s="12"/>
      <c r="AG38" s="12"/>
      <c r="AH38" s="12">
        <f t="shared" si="9"/>
        <v>0</v>
      </c>
      <c r="AI38" s="12">
        <f t="shared" si="10"/>
        <v>0</v>
      </c>
      <c r="AJ38" s="12">
        <f t="shared" si="11"/>
        <v>0</v>
      </c>
      <c r="AK38" s="12">
        <f t="shared" si="12"/>
        <v>0</v>
      </c>
      <c r="AL38" s="12">
        <f t="shared" si="13"/>
        <v>0</v>
      </c>
      <c r="AM38" s="13">
        <f t="shared" si="30"/>
        <v>140.41666666666666</v>
      </c>
      <c r="AN38" s="13">
        <f t="shared" si="31"/>
        <v>176.11111111111111</v>
      </c>
      <c r="AO38" s="13">
        <f t="shared" si="19"/>
        <v>0</v>
      </c>
      <c r="AP38" s="13">
        <f t="shared" si="20"/>
        <v>0</v>
      </c>
      <c r="AQ38" s="12">
        <f t="shared" si="32"/>
        <v>3478</v>
      </c>
      <c r="AR38" s="13">
        <f t="shared" si="21"/>
        <v>483.05555555555554</v>
      </c>
      <c r="AS38" s="21" t="s">
        <v>175</v>
      </c>
    </row>
    <row r="39" spans="1:45" x14ac:dyDescent="0.25">
      <c r="A39" s="22">
        <v>45416</v>
      </c>
      <c r="B39" s="10" t="str">
        <f t="shared" si="22"/>
        <v>2024</v>
      </c>
      <c r="C39" s="10" t="str">
        <f t="shared" si="23"/>
        <v>May</v>
      </c>
      <c r="D39" s="10"/>
      <c r="E39" s="11">
        <v>145</v>
      </c>
      <c r="F39" s="12">
        <f t="shared" si="33"/>
        <v>1740</v>
      </c>
      <c r="G39" s="14" t="s">
        <v>31</v>
      </c>
      <c r="H39" s="6">
        <v>57</v>
      </c>
      <c r="I39" s="6">
        <v>57</v>
      </c>
      <c r="J39" s="6">
        <f t="shared" si="24"/>
        <v>853</v>
      </c>
      <c r="K39" s="6"/>
      <c r="L39" s="6">
        <v>853</v>
      </c>
      <c r="M39" s="6"/>
      <c r="N39" s="6">
        <v>0</v>
      </c>
      <c r="O39" s="6"/>
      <c r="P39" s="6">
        <v>595</v>
      </c>
      <c r="Q39" s="6">
        <v>0</v>
      </c>
      <c r="R39" s="6">
        <v>780</v>
      </c>
      <c r="S39" s="6">
        <v>0</v>
      </c>
      <c r="T39" s="6">
        <v>0</v>
      </c>
      <c r="U39" s="14" t="s">
        <v>43</v>
      </c>
      <c r="V39" s="14"/>
      <c r="W39" s="6">
        <v>8</v>
      </c>
      <c r="X39" s="6">
        <v>3.4</v>
      </c>
      <c r="Y39" s="15">
        <f t="shared" si="25"/>
        <v>7.0833333333333331E-2</v>
      </c>
      <c r="Z39" s="16">
        <f t="shared" si="26"/>
        <v>0.42499999999999999</v>
      </c>
      <c r="AA39" s="16"/>
      <c r="AB39" s="16"/>
      <c r="AC39" s="13">
        <f t="shared" si="27"/>
        <v>0</v>
      </c>
      <c r="AD39" s="13">
        <f t="shared" si="28"/>
        <v>16.764705882352942</v>
      </c>
      <c r="AE39" s="13">
        <f t="shared" si="29"/>
        <v>250.88235294117646</v>
      </c>
      <c r="AF39" s="12"/>
      <c r="AG39" s="12"/>
      <c r="AH39" s="12">
        <f t="shared" si="9"/>
        <v>0</v>
      </c>
      <c r="AI39" s="12">
        <f t="shared" si="10"/>
        <v>0</v>
      </c>
      <c r="AJ39" s="12">
        <f t="shared" si="11"/>
        <v>0</v>
      </c>
      <c r="AK39" s="12">
        <f t="shared" si="12"/>
        <v>0</v>
      </c>
      <c r="AL39" s="12">
        <f t="shared" si="13"/>
        <v>0</v>
      </c>
      <c r="AM39" s="13">
        <f t="shared" si="30"/>
        <v>229.41176470588235</v>
      </c>
      <c r="AN39" s="13">
        <f t="shared" si="31"/>
        <v>175</v>
      </c>
      <c r="AO39" s="13">
        <f t="shared" si="19"/>
        <v>0</v>
      </c>
      <c r="AP39" s="13">
        <f t="shared" si="20"/>
        <v>0</v>
      </c>
      <c r="AQ39" s="12">
        <f t="shared" si="32"/>
        <v>2285</v>
      </c>
      <c r="AR39" s="13">
        <f t="shared" si="21"/>
        <v>672.05882352941171</v>
      </c>
      <c r="AS39" s="21" t="s">
        <v>176</v>
      </c>
    </row>
    <row r="40" spans="1:45" x14ac:dyDescent="0.25">
      <c r="A40" s="22">
        <v>45419</v>
      </c>
      <c r="B40" s="10" t="str">
        <f t="shared" si="22"/>
        <v>2024</v>
      </c>
      <c r="C40" s="10" t="str">
        <f t="shared" si="23"/>
        <v>May</v>
      </c>
      <c r="D40" s="10"/>
      <c r="E40" s="11">
        <v>152</v>
      </c>
      <c r="F40" s="12">
        <f t="shared" si="33"/>
        <v>1824</v>
      </c>
      <c r="G40" s="14" t="s">
        <v>31</v>
      </c>
      <c r="H40" s="6">
        <v>0</v>
      </c>
      <c r="I40" s="6">
        <v>57</v>
      </c>
      <c r="J40" s="6">
        <f t="shared" si="24"/>
        <v>1707</v>
      </c>
      <c r="K40" s="6"/>
      <c r="L40" s="6">
        <v>1707</v>
      </c>
      <c r="M40" s="6"/>
      <c r="N40" s="6">
        <v>0</v>
      </c>
      <c r="O40" s="6"/>
      <c r="P40" s="6">
        <v>1320</v>
      </c>
      <c r="Q40" s="6">
        <v>0</v>
      </c>
      <c r="R40" s="6">
        <v>2758</v>
      </c>
      <c r="S40" s="6">
        <v>0</v>
      </c>
      <c r="T40" s="6">
        <v>0</v>
      </c>
      <c r="U40" s="14" t="s">
        <v>32</v>
      </c>
      <c r="V40" s="14"/>
      <c r="W40" s="6">
        <v>12</v>
      </c>
      <c r="X40" s="6">
        <v>8.8000000000000007</v>
      </c>
      <c r="Y40" s="15">
        <f t="shared" si="25"/>
        <v>0.12222222222222223</v>
      </c>
      <c r="Z40" s="16">
        <f t="shared" si="26"/>
        <v>0.73333333333333339</v>
      </c>
      <c r="AA40" s="16"/>
      <c r="AB40" s="16"/>
      <c r="AC40" s="13">
        <f t="shared" si="27"/>
        <v>0</v>
      </c>
      <c r="AD40" s="13">
        <f t="shared" si="28"/>
        <v>0</v>
      </c>
      <c r="AE40" s="13">
        <f t="shared" si="29"/>
        <v>193.97727272727272</v>
      </c>
      <c r="AF40" s="12"/>
      <c r="AG40" s="12"/>
      <c r="AH40" s="12">
        <f t="shared" si="9"/>
        <v>0</v>
      </c>
      <c r="AI40" s="12">
        <f t="shared" si="10"/>
        <v>0</v>
      </c>
      <c r="AJ40" s="12">
        <f t="shared" si="11"/>
        <v>0</v>
      </c>
      <c r="AK40" s="12">
        <f t="shared" si="12"/>
        <v>0</v>
      </c>
      <c r="AL40" s="12">
        <f t="shared" si="13"/>
        <v>0</v>
      </c>
      <c r="AM40" s="13">
        <f t="shared" si="30"/>
        <v>313.40909090909088</v>
      </c>
      <c r="AN40" s="13">
        <f t="shared" si="31"/>
        <v>150</v>
      </c>
      <c r="AO40" s="13">
        <f t="shared" si="19"/>
        <v>0</v>
      </c>
      <c r="AP40" s="13">
        <f t="shared" si="20"/>
        <v>0</v>
      </c>
      <c r="AQ40" s="12">
        <f t="shared" si="32"/>
        <v>5785</v>
      </c>
      <c r="AR40" s="13">
        <f t="shared" si="21"/>
        <v>657.38636363636363</v>
      </c>
      <c r="AS40" s="17" t="s">
        <v>201</v>
      </c>
    </row>
    <row r="41" spans="1:45" x14ac:dyDescent="0.25">
      <c r="A41" s="22">
        <v>45421</v>
      </c>
      <c r="B41" s="10" t="str">
        <f t="shared" si="22"/>
        <v>2024</v>
      </c>
      <c r="C41" s="10" t="str">
        <f t="shared" si="23"/>
        <v>May</v>
      </c>
      <c r="D41" s="10"/>
      <c r="E41" s="11">
        <v>161</v>
      </c>
      <c r="F41" s="12">
        <f t="shared" si="33"/>
        <v>1932</v>
      </c>
      <c r="G41" s="14" t="s">
        <v>31</v>
      </c>
      <c r="H41" s="6">
        <v>80</v>
      </c>
      <c r="I41" s="6">
        <v>57</v>
      </c>
      <c r="J41" s="6">
        <f t="shared" si="24"/>
        <v>1061</v>
      </c>
      <c r="K41" s="6"/>
      <c r="L41" s="6">
        <v>1061</v>
      </c>
      <c r="M41" s="6"/>
      <c r="N41" s="6">
        <v>0</v>
      </c>
      <c r="O41" s="6"/>
      <c r="P41" s="6">
        <v>1032</v>
      </c>
      <c r="Q41" s="6">
        <v>0</v>
      </c>
      <c r="R41" s="6">
        <v>984</v>
      </c>
      <c r="S41" s="6">
        <v>0</v>
      </c>
      <c r="T41" s="6">
        <v>0</v>
      </c>
      <c r="U41" s="14" t="s">
        <v>43</v>
      </c>
      <c r="V41" s="14"/>
      <c r="W41" s="6">
        <v>9</v>
      </c>
      <c r="X41" s="6">
        <v>5.9</v>
      </c>
      <c r="Y41" s="15">
        <f t="shared" si="25"/>
        <v>0.10925925925925926</v>
      </c>
      <c r="Z41" s="16">
        <f t="shared" si="26"/>
        <v>0.65555555555555556</v>
      </c>
      <c r="AA41" s="16"/>
      <c r="AB41" s="16"/>
      <c r="AC41" s="13">
        <f t="shared" si="27"/>
        <v>0</v>
      </c>
      <c r="AD41" s="13">
        <f t="shared" si="28"/>
        <v>13.559322033898304</v>
      </c>
      <c r="AE41" s="13">
        <f t="shared" si="29"/>
        <v>179.83050847457625</v>
      </c>
      <c r="AF41" s="12"/>
      <c r="AG41" s="12"/>
      <c r="AH41" s="12">
        <f t="shared" si="9"/>
        <v>0</v>
      </c>
      <c r="AI41" s="12">
        <f t="shared" si="10"/>
        <v>0</v>
      </c>
      <c r="AJ41" s="12">
        <f t="shared" si="11"/>
        <v>0</v>
      </c>
      <c r="AK41" s="12">
        <f t="shared" si="12"/>
        <v>0</v>
      </c>
      <c r="AL41" s="12">
        <f t="shared" si="13"/>
        <v>0</v>
      </c>
      <c r="AM41" s="13">
        <f t="shared" si="30"/>
        <v>166.77966101694915</v>
      </c>
      <c r="AN41" s="13">
        <f t="shared" si="31"/>
        <v>174.91525423728814</v>
      </c>
      <c r="AO41" s="13">
        <f t="shared" si="19"/>
        <v>0</v>
      </c>
      <c r="AP41" s="13">
        <f t="shared" si="20"/>
        <v>0</v>
      </c>
      <c r="AQ41" s="12">
        <f t="shared" si="32"/>
        <v>3157</v>
      </c>
      <c r="AR41" s="13">
        <f t="shared" si="21"/>
        <v>535.0847457627118</v>
      </c>
      <c r="AS41" s="21" t="s">
        <v>177</v>
      </c>
    </row>
    <row r="42" spans="1:45" x14ac:dyDescent="0.25">
      <c r="A42" s="22">
        <v>45422</v>
      </c>
      <c r="B42" s="10" t="str">
        <f t="shared" si="22"/>
        <v>2024</v>
      </c>
      <c r="C42" s="10" t="str">
        <f t="shared" si="23"/>
        <v>May</v>
      </c>
      <c r="D42" s="10"/>
      <c r="E42" s="11">
        <v>168</v>
      </c>
      <c r="F42" s="12">
        <f t="shared" si="33"/>
        <v>2016</v>
      </c>
      <c r="G42" s="14" t="s">
        <v>31</v>
      </c>
      <c r="H42" s="6">
        <v>63</v>
      </c>
      <c r="I42" s="6">
        <v>57</v>
      </c>
      <c r="J42" s="6">
        <f t="shared" si="24"/>
        <v>1059</v>
      </c>
      <c r="K42" s="6"/>
      <c r="L42" s="6">
        <v>1059</v>
      </c>
      <c r="M42" s="6"/>
      <c r="N42" s="6">
        <v>0</v>
      </c>
      <c r="O42" s="6"/>
      <c r="P42" s="6">
        <v>1280</v>
      </c>
      <c r="Q42" s="6">
        <v>0</v>
      </c>
      <c r="R42" s="6">
        <v>1015</v>
      </c>
      <c r="S42" s="6">
        <v>0</v>
      </c>
      <c r="T42" s="6">
        <v>0</v>
      </c>
      <c r="U42" s="14" t="s">
        <v>178</v>
      </c>
      <c r="V42" s="14"/>
      <c r="W42" s="6">
        <v>9</v>
      </c>
      <c r="X42" s="6">
        <v>7.3</v>
      </c>
      <c r="Y42" s="15">
        <f t="shared" si="25"/>
        <v>0.13518518518518519</v>
      </c>
      <c r="Z42" s="16">
        <f t="shared" si="26"/>
        <v>0.81111111111111112</v>
      </c>
      <c r="AA42" s="16"/>
      <c r="AB42" s="16"/>
      <c r="AC42" s="13">
        <f t="shared" si="27"/>
        <v>0</v>
      </c>
      <c r="AD42" s="13">
        <f t="shared" si="28"/>
        <v>8.6301369863013697</v>
      </c>
      <c r="AE42" s="13">
        <f t="shared" si="29"/>
        <v>145.06849315068493</v>
      </c>
      <c r="AF42" s="12"/>
      <c r="AG42" s="12"/>
      <c r="AH42" s="12">
        <f t="shared" si="9"/>
        <v>0</v>
      </c>
      <c r="AI42" s="12">
        <f t="shared" si="10"/>
        <v>0</v>
      </c>
      <c r="AJ42" s="12">
        <f t="shared" si="11"/>
        <v>0</v>
      </c>
      <c r="AK42" s="12">
        <f t="shared" si="12"/>
        <v>0</v>
      </c>
      <c r="AL42" s="12">
        <f t="shared" si="13"/>
        <v>0</v>
      </c>
      <c r="AM42" s="13">
        <f t="shared" si="30"/>
        <v>139.04109589041096</v>
      </c>
      <c r="AN42" s="13">
        <f t="shared" si="31"/>
        <v>175.34246575342465</v>
      </c>
      <c r="AO42" s="13">
        <f t="shared" si="19"/>
        <v>0</v>
      </c>
      <c r="AP42" s="13">
        <f t="shared" si="20"/>
        <v>0</v>
      </c>
      <c r="AQ42" s="12">
        <f t="shared" si="32"/>
        <v>3417</v>
      </c>
      <c r="AR42" s="13">
        <f t="shared" si="21"/>
        <v>468.08219178082192</v>
      </c>
      <c r="AS42" s="21" t="s">
        <v>179</v>
      </c>
    </row>
    <row r="43" spans="1:45" x14ac:dyDescent="0.25">
      <c r="A43" s="22">
        <v>45423</v>
      </c>
      <c r="B43" s="10" t="str">
        <f t="shared" si="22"/>
        <v>2024</v>
      </c>
      <c r="C43" s="10" t="str">
        <f t="shared" si="23"/>
        <v>May</v>
      </c>
      <c r="D43" s="10"/>
      <c r="E43" s="11">
        <v>153</v>
      </c>
      <c r="F43" s="12">
        <f t="shared" si="33"/>
        <v>1836</v>
      </c>
      <c r="G43" s="14" t="s">
        <v>31</v>
      </c>
      <c r="H43" s="6">
        <v>65</v>
      </c>
      <c r="I43" s="6">
        <v>57</v>
      </c>
      <c r="J43" s="6">
        <f t="shared" si="24"/>
        <v>985</v>
      </c>
      <c r="K43" s="6"/>
      <c r="L43" s="6">
        <v>985</v>
      </c>
      <c r="M43" s="6"/>
      <c r="N43" s="6">
        <v>0</v>
      </c>
      <c r="O43" s="6"/>
      <c r="P43" s="6">
        <v>1190</v>
      </c>
      <c r="Q43" s="6">
        <v>0</v>
      </c>
      <c r="R43" s="6">
        <v>1000</v>
      </c>
      <c r="S43" s="6">
        <v>0</v>
      </c>
      <c r="T43" s="6">
        <v>0</v>
      </c>
      <c r="U43" s="14" t="s">
        <v>43</v>
      </c>
      <c r="V43" s="14"/>
      <c r="W43" s="6">
        <v>9</v>
      </c>
      <c r="X43" s="6">
        <v>6.8</v>
      </c>
      <c r="Y43" s="15">
        <f t="shared" si="25"/>
        <v>0.12592592592592591</v>
      </c>
      <c r="Z43" s="16">
        <f t="shared" si="26"/>
        <v>0.75555555555555554</v>
      </c>
      <c r="AA43" s="16"/>
      <c r="AB43" s="16"/>
      <c r="AC43" s="13">
        <f t="shared" si="27"/>
        <v>0</v>
      </c>
      <c r="AD43" s="13">
        <f t="shared" si="28"/>
        <v>9.5588235294117645</v>
      </c>
      <c r="AE43" s="13">
        <f t="shared" si="29"/>
        <v>144.85294117647058</v>
      </c>
      <c r="AF43" s="12"/>
      <c r="AG43" s="12"/>
      <c r="AH43" s="12">
        <f t="shared" si="9"/>
        <v>0</v>
      </c>
      <c r="AI43" s="12">
        <f t="shared" si="10"/>
        <v>0</v>
      </c>
      <c r="AJ43" s="12">
        <f t="shared" si="11"/>
        <v>0</v>
      </c>
      <c r="AK43" s="12">
        <f t="shared" si="12"/>
        <v>0</v>
      </c>
      <c r="AL43" s="12">
        <f t="shared" si="13"/>
        <v>0</v>
      </c>
      <c r="AM43" s="13">
        <f t="shared" si="30"/>
        <v>147.05882352941177</v>
      </c>
      <c r="AN43" s="13">
        <f t="shared" si="31"/>
        <v>175</v>
      </c>
      <c r="AO43" s="13">
        <f t="shared" si="19"/>
        <v>0</v>
      </c>
      <c r="AP43" s="13">
        <f t="shared" si="20"/>
        <v>0</v>
      </c>
      <c r="AQ43" s="12">
        <f t="shared" si="32"/>
        <v>3240</v>
      </c>
      <c r="AR43" s="13">
        <f t="shared" si="21"/>
        <v>476.47058823529409</v>
      </c>
      <c r="AS43" s="21" t="s">
        <v>180</v>
      </c>
    </row>
    <row r="44" spans="1:45" x14ac:dyDescent="0.25">
      <c r="A44" s="22">
        <v>45425</v>
      </c>
      <c r="B44" s="10" t="str">
        <f t="shared" si="22"/>
        <v>2024</v>
      </c>
      <c r="C44" s="10" t="str">
        <f t="shared" si="23"/>
        <v>May</v>
      </c>
      <c r="D44" s="10"/>
      <c r="E44" s="11">
        <v>146</v>
      </c>
      <c r="F44" s="12">
        <f t="shared" si="33"/>
        <v>1752</v>
      </c>
      <c r="G44" s="14" t="s">
        <v>31</v>
      </c>
      <c r="H44" s="6">
        <v>33</v>
      </c>
      <c r="I44" s="6">
        <v>57</v>
      </c>
      <c r="J44" s="6">
        <f t="shared" si="24"/>
        <v>974</v>
      </c>
      <c r="K44" s="6"/>
      <c r="L44" s="6">
        <v>974</v>
      </c>
      <c r="M44" s="6"/>
      <c r="N44" s="6">
        <v>0</v>
      </c>
      <c r="O44" s="6"/>
      <c r="P44" s="6">
        <v>1260</v>
      </c>
      <c r="Q44" s="6">
        <v>0</v>
      </c>
      <c r="R44" s="6">
        <v>1009</v>
      </c>
      <c r="S44" s="6">
        <v>0</v>
      </c>
      <c r="T44" s="6">
        <v>0</v>
      </c>
      <c r="U44" s="14" t="s">
        <v>43</v>
      </c>
      <c r="V44" s="14"/>
      <c r="W44" s="6">
        <v>9</v>
      </c>
      <c r="X44" s="6">
        <v>7.2</v>
      </c>
      <c r="Y44" s="15">
        <f t="shared" si="25"/>
        <v>0.13333333333333333</v>
      </c>
      <c r="Z44" s="16">
        <f t="shared" si="26"/>
        <v>0.8</v>
      </c>
      <c r="AA44" s="16"/>
      <c r="AB44" s="16"/>
      <c r="AC44" s="13">
        <f t="shared" si="27"/>
        <v>0</v>
      </c>
      <c r="AD44" s="13">
        <f t="shared" si="28"/>
        <v>4.583333333333333</v>
      </c>
      <c r="AE44" s="13">
        <f t="shared" si="29"/>
        <v>135.27777777777777</v>
      </c>
      <c r="AF44" s="12"/>
      <c r="AG44" s="12"/>
      <c r="AH44" s="12">
        <f t="shared" si="9"/>
        <v>0</v>
      </c>
      <c r="AI44" s="12">
        <f t="shared" si="10"/>
        <v>0</v>
      </c>
      <c r="AJ44" s="12">
        <f t="shared" si="11"/>
        <v>0</v>
      </c>
      <c r="AK44" s="12">
        <f t="shared" si="12"/>
        <v>0</v>
      </c>
      <c r="AL44" s="12">
        <f t="shared" si="13"/>
        <v>0</v>
      </c>
      <c r="AM44" s="13">
        <f t="shared" si="30"/>
        <v>140.13888888888889</v>
      </c>
      <c r="AN44" s="13">
        <f t="shared" si="31"/>
        <v>175</v>
      </c>
      <c r="AO44" s="13">
        <f t="shared" si="19"/>
        <v>0</v>
      </c>
      <c r="AP44" s="13">
        <f t="shared" si="20"/>
        <v>0</v>
      </c>
      <c r="AQ44" s="12">
        <f t="shared" si="32"/>
        <v>3276</v>
      </c>
      <c r="AR44" s="13">
        <f t="shared" si="21"/>
        <v>455</v>
      </c>
      <c r="AS44" s="21" t="s">
        <v>181</v>
      </c>
    </row>
    <row r="45" spans="1:45" x14ac:dyDescent="0.25">
      <c r="A45" s="22">
        <v>45426</v>
      </c>
      <c r="B45" s="10" t="str">
        <f t="shared" si="22"/>
        <v>2024</v>
      </c>
      <c r="C45" s="10" t="str">
        <f t="shared" si="23"/>
        <v>May</v>
      </c>
      <c r="D45" s="10"/>
      <c r="E45" s="11">
        <v>133</v>
      </c>
      <c r="F45" s="12">
        <f t="shared" si="33"/>
        <v>1596</v>
      </c>
      <c r="G45" s="14" t="s">
        <v>31</v>
      </c>
      <c r="H45" s="6">
        <v>0</v>
      </c>
      <c r="I45" s="6">
        <v>57</v>
      </c>
      <c r="J45" s="6">
        <f t="shared" si="24"/>
        <v>1458</v>
      </c>
      <c r="K45" s="6"/>
      <c r="L45" s="6">
        <v>1188</v>
      </c>
      <c r="M45" s="6"/>
      <c r="N45" s="6">
        <v>270</v>
      </c>
      <c r="O45" s="6"/>
      <c r="P45" s="6">
        <v>1095</v>
      </c>
      <c r="Q45" s="6">
        <v>0</v>
      </c>
      <c r="R45" s="6">
        <v>784</v>
      </c>
      <c r="S45" s="6">
        <v>0</v>
      </c>
      <c r="T45" s="6">
        <v>0</v>
      </c>
      <c r="U45" s="14" t="s">
        <v>43</v>
      </c>
      <c r="V45" s="14"/>
      <c r="W45" s="6">
        <v>9</v>
      </c>
      <c r="X45" s="6">
        <v>7.3</v>
      </c>
      <c r="Y45" s="15">
        <f t="shared" si="25"/>
        <v>0.13518518518518519</v>
      </c>
      <c r="Z45" s="16">
        <f t="shared" si="26"/>
        <v>0.81111111111111112</v>
      </c>
      <c r="AA45" s="16"/>
      <c r="AB45" s="16"/>
      <c r="AC45" s="13">
        <f t="shared" si="27"/>
        <v>0</v>
      </c>
      <c r="AD45" s="13">
        <f t="shared" si="28"/>
        <v>0</v>
      </c>
      <c r="AE45" s="13">
        <f t="shared" si="29"/>
        <v>199.72602739726028</v>
      </c>
      <c r="AF45" s="12"/>
      <c r="AG45" s="12">
        <f t="shared" si="8"/>
        <v>36.986301369863014</v>
      </c>
      <c r="AH45" s="12">
        <f t="shared" si="9"/>
        <v>0</v>
      </c>
      <c r="AI45" s="12">
        <f t="shared" si="10"/>
        <v>0</v>
      </c>
      <c r="AJ45" s="12">
        <f t="shared" si="11"/>
        <v>0.16917293233082706</v>
      </c>
      <c r="AK45" s="12">
        <f t="shared" si="12"/>
        <v>0</v>
      </c>
      <c r="AL45" s="12">
        <f t="shared" si="13"/>
        <v>0.16917293233082706</v>
      </c>
      <c r="AM45" s="13">
        <f t="shared" si="30"/>
        <v>107.39726027397261</v>
      </c>
      <c r="AN45" s="13">
        <f t="shared" si="31"/>
        <v>150</v>
      </c>
      <c r="AO45" s="13">
        <f t="shared" si="19"/>
        <v>0</v>
      </c>
      <c r="AP45" s="13">
        <f t="shared" si="20"/>
        <v>0</v>
      </c>
      <c r="AQ45" s="12">
        <f t="shared" si="32"/>
        <v>3337</v>
      </c>
      <c r="AR45" s="13">
        <f t="shared" si="21"/>
        <v>457.1232876712329</v>
      </c>
      <c r="AS45" s="21" t="s">
        <v>182</v>
      </c>
    </row>
    <row r="46" spans="1:45" x14ac:dyDescent="0.25">
      <c r="A46" s="22">
        <v>45427</v>
      </c>
      <c r="B46" s="10" t="str">
        <f t="shared" si="22"/>
        <v>2024</v>
      </c>
      <c r="C46" s="10" t="str">
        <f t="shared" si="23"/>
        <v>May</v>
      </c>
      <c r="D46" s="10"/>
      <c r="E46" s="11">
        <v>218</v>
      </c>
      <c r="F46" s="12">
        <f t="shared" si="33"/>
        <v>2616</v>
      </c>
      <c r="G46" s="14" t="s">
        <v>31</v>
      </c>
      <c r="H46" s="6">
        <v>84</v>
      </c>
      <c r="I46" s="6">
        <v>57</v>
      </c>
      <c r="J46" s="6">
        <f t="shared" si="24"/>
        <v>2772</v>
      </c>
      <c r="K46" s="6"/>
      <c r="L46" s="6">
        <v>1327</v>
      </c>
      <c r="M46" s="6"/>
      <c r="N46" s="6">
        <v>1445</v>
      </c>
      <c r="O46" s="6"/>
      <c r="P46" s="6">
        <v>1400</v>
      </c>
      <c r="Q46" s="6">
        <v>0</v>
      </c>
      <c r="R46" s="6">
        <v>0</v>
      </c>
      <c r="S46" s="6">
        <v>0</v>
      </c>
      <c r="T46" s="6">
        <v>0</v>
      </c>
      <c r="U46" s="14" t="s">
        <v>183</v>
      </c>
      <c r="V46" s="14"/>
      <c r="W46" s="6">
        <v>13</v>
      </c>
      <c r="X46" s="6">
        <v>9.15</v>
      </c>
      <c r="Y46" s="15">
        <f t="shared" si="25"/>
        <v>0.11730769230769231</v>
      </c>
      <c r="Z46" s="16">
        <f t="shared" si="26"/>
        <v>0.7038461538461539</v>
      </c>
      <c r="AA46" s="16"/>
      <c r="AB46" s="16"/>
      <c r="AC46" s="13">
        <f t="shared" si="27"/>
        <v>0</v>
      </c>
      <c r="AD46" s="13">
        <f t="shared" si="28"/>
        <v>9.1803278688524586</v>
      </c>
      <c r="AE46" s="13">
        <f t="shared" si="29"/>
        <v>302.95081967213116</v>
      </c>
      <c r="AF46" s="12"/>
      <c r="AG46" s="12">
        <f t="shared" si="8"/>
        <v>157.92349726775956</v>
      </c>
      <c r="AH46" s="12">
        <f t="shared" si="9"/>
        <v>0</v>
      </c>
      <c r="AI46" s="12">
        <f t="shared" si="10"/>
        <v>0</v>
      </c>
      <c r="AJ46" s="12">
        <f t="shared" si="11"/>
        <v>0.55237003058103973</v>
      </c>
      <c r="AK46" s="12">
        <f t="shared" si="12"/>
        <v>0</v>
      </c>
      <c r="AL46" s="12">
        <f t="shared" si="13"/>
        <v>0.55237003058103973</v>
      </c>
      <c r="AM46" s="13">
        <f t="shared" si="30"/>
        <v>0</v>
      </c>
      <c r="AN46" s="13">
        <f t="shared" si="31"/>
        <v>153.00546448087431</v>
      </c>
      <c r="AO46" s="13">
        <f t="shared" si="19"/>
        <v>0</v>
      </c>
      <c r="AP46" s="13">
        <f t="shared" si="20"/>
        <v>0</v>
      </c>
      <c r="AQ46" s="12">
        <f t="shared" si="32"/>
        <v>4256</v>
      </c>
      <c r="AR46" s="13">
        <f t="shared" si="21"/>
        <v>465.1366120218579</v>
      </c>
      <c r="AS46" s="21" t="s">
        <v>184</v>
      </c>
    </row>
    <row r="47" spans="1:45" x14ac:dyDescent="0.25">
      <c r="A47" s="22">
        <v>45428</v>
      </c>
      <c r="B47" s="10" t="str">
        <f t="shared" si="22"/>
        <v>2024</v>
      </c>
      <c r="C47" s="10" t="str">
        <f t="shared" si="23"/>
        <v>May</v>
      </c>
      <c r="D47" s="10"/>
      <c r="E47" s="11">
        <v>133</v>
      </c>
      <c r="F47" s="12">
        <f t="shared" si="33"/>
        <v>1596</v>
      </c>
      <c r="G47" s="14" t="s">
        <v>31</v>
      </c>
      <c r="H47" s="6">
        <v>50</v>
      </c>
      <c r="I47" s="6">
        <v>57</v>
      </c>
      <c r="J47" s="6">
        <f t="shared" si="24"/>
        <v>1113</v>
      </c>
      <c r="K47" s="6"/>
      <c r="L47" s="6">
        <v>811</v>
      </c>
      <c r="M47" s="6"/>
      <c r="N47" s="6">
        <v>302</v>
      </c>
      <c r="O47" s="6"/>
      <c r="P47" s="6">
        <v>729</v>
      </c>
      <c r="Q47" s="6">
        <v>0</v>
      </c>
      <c r="R47" s="6">
        <v>0</v>
      </c>
      <c r="S47" s="6">
        <v>0</v>
      </c>
      <c r="T47" s="6">
        <v>0</v>
      </c>
      <c r="U47" s="14" t="s">
        <v>183</v>
      </c>
      <c r="V47" s="14"/>
      <c r="W47" s="6">
        <v>6</v>
      </c>
      <c r="X47" s="6">
        <v>4.8</v>
      </c>
      <c r="Y47" s="15">
        <f t="shared" si="25"/>
        <v>0.13333333333333333</v>
      </c>
      <c r="Z47" s="16">
        <f t="shared" si="26"/>
        <v>0.79999999999999993</v>
      </c>
      <c r="AA47" s="16"/>
      <c r="AB47" s="16"/>
      <c r="AC47" s="13">
        <f t="shared" si="27"/>
        <v>0</v>
      </c>
      <c r="AD47" s="13">
        <f t="shared" si="28"/>
        <v>10.416666666666668</v>
      </c>
      <c r="AE47" s="13">
        <f t="shared" si="29"/>
        <v>231.875</v>
      </c>
      <c r="AF47" s="12"/>
      <c r="AG47" s="12">
        <f t="shared" si="8"/>
        <v>62.916666666666671</v>
      </c>
      <c r="AH47" s="12">
        <f t="shared" si="9"/>
        <v>0</v>
      </c>
      <c r="AI47" s="12">
        <f t="shared" si="10"/>
        <v>0</v>
      </c>
      <c r="AJ47" s="12">
        <f t="shared" si="11"/>
        <v>0.18922305764411027</v>
      </c>
      <c r="AK47" s="12">
        <f t="shared" si="12"/>
        <v>0</v>
      </c>
      <c r="AL47" s="12">
        <f t="shared" si="13"/>
        <v>0.18922305764411027</v>
      </c>
      <c r="AM47" s="13">
        <f t="shared" si="30"/>
        <v>0</v>
      </c>
      <c r="AN47" s="13">
        <f t="shared" si="31"/>
        <v>151.875</v>
      </c>
      <c r="AO47" s="13">
        <f t="shared" si="19"/>
        <v>0</v>
      </c>
      <c r="AP47" s="13">
        <f t="shared" si="20"/>
        <v>0</v>
      </c>
      <c r="AQ47" s="12">
        <f t="shared" si="32"/>
        <v>1892</v>
      </c>
      <c r="AR47" s="13">
        <f t="shared" si="21"/>
        <v>394.16666666666669</v>
      </c>
      <c r="AS47" s="21" t="s">
        <v>185</v>
      </c>
    </row>
    <row r="48" spans="1:45" x14ac:dyDescent="0.25">
      <c r="A48" s="22">
        <v>45429</v>
      </c>
      <c r="B48" s="10" t="str">
        <f t="shared" si="22"/>
        <v>2024</v>
      </c>
      <c r="C48" s="10" t="str">
        <f t="shared" si="23"/>
        <v>May</v>
      </c>
      <c r="D48" s="10"/>
      <c r="E48" s="11">
        <v>207</v>
      </c>
      <c r="F48" s="12">
        <f t="shared" si="33"/>
        <v>2484</v>
      </c>
      <c r="G48" s="14" t="s">
        <v>31</v>
      </c>
      <c r="H48" s="6">
        <v>65</v>
      </c>
      <c r="I48" s="6">
        <v>57</v>
      </c>
      <c r="J48" s="6">
        <f t="shared" si="24"/>
        <v>1693</v>
      </c>
      <c r="K48" s="6"/>
      <c r="L48" s="6">
        <v>1210</v>
      </c>
      <c r="M48" s="6"/>
      <c r="N48" s="6">
        <v>483</v>
      </c>
      <c r="O48" s="6"/>
      <c r="P48" s="6">
        <v>600</v>
      </c>
      <c r="Q48" s="6">
        <v>0</v>
      </c>
      <c r="R48" s="6">
        <v>0</v>
      </c>
      <c r="S48" s="6">
        <v>0</v>
      </c>
      <c r="T48" s="6">
        <v>0</v>
      </c>
      <c r="U48" s="14" t="s">
        <v>32</v>
      </c>
      <c r="V48" s="14"/>
      <c r="W48" s="6">
        <v>9</v>
      </c>
      <c r="X48" s="6">
        <v>4</v>
      </c>
      <c r="Y48" s="15">
        <f t="shared" si="25"/>
        <v>7.407407407407407E-2</v>
      </c>
      <c r="Z48" s="16">
        <f t="shared" si="26"/>
        <v>0.44444444444444442</v>
      </c>
      <c r="AA48" s="16"/>
      <c r="AB48" s="16"/>
      <c r="AC48" s="13">
        <f t="shared" si="27"/>
        <v>0</v>
      </c>
      <c r="AD48" s="13">
        <f t="shared" si="28"/>
        <v>16.25</v>
      </c>
      <c r="AE48" s="13">
        <f t="shared" si="29"/>
        <v>423.25</v>
      </c>
      <c r="AF48" s="12"/>
      <c r="AG48" s="12">
        <f t="shared" si="8"/>
        <v>120.75</v>
      </c>
      <c r="AH48" s="12">
        <f t="shared" si="9"/>
        <v>0</v>
      </c>
      <c r="AI48" s="12">
        <f t="shared" si="10"/>
        <v>0</v>
      </c>
      <c r="AJ48" s="12">
        <f t="shared" si="11"/>
        <v>0.19444444444444445</v>
      </c>
      <c r="AK48" s="12">
        <f t="shared" si="12"/>
        <v>0</v>
      </c>
      <c r="AL48" s="12">
        <f t="shared" si="13"/>
        <v>0.19444444444444445</v>
      </c>
      <c r="AM48" s="13">
        <f t="shared" si="30"/>
        <v>0</v>
      </c>
      <c r="AN48" s="13">
        <f t="shared" si="31"/>
        <v>150</v>
      </c>
      <c r="AO48" s="13">
        <f t="shared" si="19"/>
        <v>0</v>
      </c>
      <c r="AP48" s="13">
        <f t="shared" si="20"/>
        <v>0</v>
      </c>
      <c r="AQ48" s="12">
        <f t="shared" si="32"/>
        <v>2358</v>
      </c>
      <c r="AR48" s="13">
        <f t="shared" si="21"/>
        <v>589.5</v>
      </c>
      <c r="AS48" s="21"/>
    </row>
    <row r="49" spans="1:45" x14ac:dyDescent="0.25">
      <c r="A49" s="22">
        <v>45430</v>
      </c>
      <c r="B49" s="10" t="str">
        <f t="shared" si="22"/>
        <v>2024</v>
      </c>
      <c r="C49" s="10" t="str">
        <f t="shared" si="23"/>
        <v>May</v>
      </c>
      <c r="D49" s="10"/>
      <c r="E49" s="11">
        <v>299</v>
      </c>
      <c r="F49" s="12">
        <f t="shared" si="33"/>
        <v>3588</v>
      </c>
      <c r="G49" s="14" t="s">
        <v>31</v>
      </c>
      <c r="H49" s="6">
        <v>47</v>
      </c>
      <c r="I49" s="6">
        <v>57</v>
      </c>
      <c r="J49" s="6">
        <f t="shared" si="24"/>
        <v>2326</v>
      </c>
      <c r="K49" s="6"/>
      <c r="L49" s="6">
        <v>1681</v>
      </c>
      <c r="M49" s="6"/>
      <c r="N49" s="6">
        <v>645</v>
      </c>
      <c r="O49" s="6"/>
      <c r="P49" s="6">
        <v>930</v>
      </c>
      <c r="Q49" s="6">
        <v>60</v>
      </c>
      <c r="R49" s="6">
        <v>0</v>
      </c>
      <c r="S49" s="6">
        <v>0</v>
      </c>
      <c r="T49" s="6">
        <v>0</v>
      </c>
      <c r="U49" s="14" t="s">
        <v>32</v>
      </c>
      <c r="V49" s="14"/>
      <c r="W49" s="6">
        <v>9</v>
      </c>
      <c r="X49" s="6">
        <v>6</v>
      </c>
      <c r="Y49" s="15">
        <f t="shared" si="25"/>
        <v>0.1111111111111111</v>
      </c>
      <c r="Z49" s="16">
        <f t="shared" si="26"/>
        <v>0.66666666666666663</v>
      </c>
      <c r="AA49" s="16"/>
      <c r="AB49" s="16"/>
      <c r="AC49" s="13">
        <f t="shared" si="27"/>
        <v>10</v>
      </c>
      <c r="AD49" s="13">
        <f t="shared" si="28"/>
        <v>7.833333333333333</v>
      </c>
      <c r="AE49" s="13">
        <f t="shared" si="29"/>
        <v>387.66666666666669</v>
      </c>
      <c r="AF49" s="12"/>
      <c r="AG49" s="12">
        <f t="shared" si="8"/>
        <v>107.5</v>
      </c>
      <c r="AH49" s="12">
        <f t="shared" si="9"/>
        <v>0</v>
      </c>
      <c r="AI49" s="12">
        <f t="shared" si="10"/>
        <v>0</v>
      </c>
      <c r="AJ49" s="12">
        <f t="shared" si="11"/>
        <v>0.17976588628762541</v>
      </c>
      <c r="AK49" s="12">
        <f t="shared" si="12"/>
        <v>0</v>
      </c>
      <c r="AL49" s="12">
        <f t="shared" si="13"/>
        <v>0.17976588628762541</v>
      </c>
      <c r="AM49" s="13">
        <f t="shared" si="30"/>
        <v>0</v>
      </c>
      <c r="AN49" s="13">
        <f t="shared" si="31"/>
        <v>155</v>
      </c>
      <c r="AO49" s="13">
        <f t="shared" si="19"/>
        <v>0</v>
      </c>
      <c r="AP49" s="13">
        <f t="shared" si="20"/>
        <v>0</v>
      </c>
      <c r="AQ49" s="12">
        <f t="shared" si="32"/>
        <v>3363</v>
      </c>
      <c r="AR49" s="13">
        <f t="shared" si="21"/>
        <v>560.50000000000011</v>
      </c>
      <c r="AS49" s="21" t="s">
        <v>186</v>
      </c>
    </row>
    <row r="50" spans="1:45" x14ac:dyDescent="0.25">
      <c r="A50" s="22">
        <v>45432</v>
      </c>
      <c r="B50" s="10" t="str">
        <f t="shared" si="22"/>
        <v>2024</v>
      </c>
      <c r="C50" s="10" t="str">
        <f t="shared" si="23"/>
        <v>May</v>
      </c>
      <c r="D50" s="10"/>
      <c r="E50" s="11">
        <v>132</v>
      </c>
      <c r="F50" s="12">
        <f t="shared" si="33"/>
        <v>1584</v>
      </c>
      <c r="G50" s="14" t="s">
        <v>31</v>
      </c>
      <c r="H50" s="6">
        <v>30</v>
      </c>
      <c r="I50" s="6">
        <v>57</v>
      </c>
      <c r="J50" s="6">
        <f t="shared" si="24"/>
        <v>1138</v>
      </c>
      <c r="K50" s="6"/>
      <c r="L50" s="6">
        <v>835</v>
      </c>
      <c r="M50" s="6"/>
      <c r="N50" s="6">
        <v>303</v>
      </c>
      <c r="O50" s="6"/>
      <c r="P50" s="6">
        <v>525</v>
      </c>
      <c r="Q50" s="6">
        <v>20</v>
      </c>
      <c r="R50" s="6">
        <v>0</v>
      </c>
      <c r="S50" s="6">
        <v>0</v>
      </c>
      <c r="T50" s="6">
        <v>0</v>
      </c>
      <c r="U50" s="14" t="s">
        <v>32</v>
      </c>
      <c r="V50" s="14"/>
      <c r="W50" s="6">
        <v>9</v>
      </c>
      <c r="X50" s="6">
        <v>3.5</v>
      </c>
      <c r="Y50" s="15">
        <f t="shared" si="25"/>
        <v>6.4814814814814811E-2</v>
      </c>
      <c r="Z50" s="16">
        <f t="shared" si="26"/>
        <v>0.3888888888888889</v>
      </c>
      <c r="AA50" s="16"/>
      <c r="AB50" s="16"/>
      <c r="AC50" s="13">
        <f t="shared" si="27"/>
        <v>5.7142857142857144</v>
      </c>
      <c r="AD50" s="13">
        <f t="shared" si="28"/>
        <v>8.5714285714285712</v>
      </c>
      <c r="AE50" s="13">
        <f t="shared" si="29"/>
        <v>325.14285714285717</v>
      </c>
      <c r="AF50" s="12"/>
      <c r="AG50" s="12">
        <f t="shared" si="8"/>
        <v>86.571428571428569</v>
      </c>
      <c r="AH50" s="12">
        <f t="shared" si="9"/>
        <v>0</v>
      </c>
      <c r="AI50" s="12">
        <f t="shared" si="10"/>
        <v>0</v>
      </c>
      <c r="AJ50" s="12">
        <f t="shared" si="11"/>
        <v>0.19128787878787878</v>
      </c>
      <c r="AK50" s="12">
        <f t="shared" si="12"/>
        <v>0</v>
      </c>
      <c r="AL50" s="12">
        <f t="shared" si="13"/>
        <v>0.19128787878787878</v>
      </c>
      <c r="AM50" s="13">
        <f t="shared" si="30"/>
        <v>0</v>
      </c>
      <c r="AN50" s="13">
        <f t="shared" si="31"/>
        <v>150</v>
      </c>
      <c r="AO50" s="13">
        <f t="shared" si="19"/>
        <v>0</v>
      </c>
      <c r="AP50" s="13">
        <f t="shared" si="20"/>
        <v>0</v>
      </c>
      <c r="AQ50" s="12">
        <f t="shared" si="32"/>
        <v>1713</v>
      </c>
      <c r="AR50" s="13">
        <f t="shared" si="21"/>
        <v>489.42857142857144</v>
      </c>
      <c r="AS50" s="21" t="s">
        <v>187</v>
      </c>
    </row>
    <row r="51" spans="1:45" x14ac:dyDescent="0.25">
      <c r="A51" s="22">
        <v>45433</v>
      </c>
      <c r="B51" s="10" t="str">
        <f t="shared" si="22"/>
        <v>2024</v>
      </c>
      <c r="C51" s="10" t="str">
        <f t="shared" si="23"/>
        <v>May</v>
      </c>
      <c r="D51" s="10"/>
      <c r="E51" s="11">
        <v>329</v>
      </c>
      <c r="F51" s="12">
        <f t="shared" si="33"/>
        <v>3948</v>
      </c>
      <c r="G51" s="14" t="s">
        <v>31</v>
      </c>
      <c r="H51" s="6">
        <v>0</v>
      </c>
      <c r="I51" s="6">
        <v>57</v>
      </c>
      <c r="J51" s="6">
        <f t="shared" si="24"/>
        <v>2598</v>
      </c>
      <c r="K51" s="6"/>
      <c r="L51" s="6">
        <v>1877</v>
      </c>
      <c r="M51" s="6"/>
      <c r="N51" s="6">
        <v>721</v>
      </c>
      <c r="O51" s="6"/>
      <c r="P51" s="6">
        <v>1125</v>
      </c>
      <c r="Q51" s="6">
        <v>80</v>
      </c>
      <c r="R51" s="6">
        <v>0</v>
      </c>
      <c r="S51" s="6">
        <v>0</v>
      </c>
      <c r="T51" s="6">
        <v>0</v>
      </c>
      <c r="U51" s="14" t="s">
        <v>32</v>
      </c>
      <c r="V51" s="14"/>
      <c r="W51" s="6">
        <v>10</v>
      </c>
      <c r="X51" s="6">
        <v>7.5</v>
      </c>
      <c r="Y51" s="15">
        <f t="shared" si="25"/>
        <v>0.125</v>
      </c>
      <c r="Z51" s="16">
        <f t="shared" si="26"/>
        <v>0.75</v>
      </c>
      <c r="AA51" s="16"/>
      <c r="AB51" s="16"/>
      <c r="AC51" s="13">
        <f t="shared" si="27"/>
        <v>10.666666666666666</v>
      </c>
      <c r="AD51" s="13">
        <f t="shared" si="28"/>
        <v>0</v>
      </c>
      <c r="AE51" s="13">
        <f t="shared" si="29"/>
        <v>346.4</v>
      </c>
      <c r="AF51" s="12"/>
      <c r="AG51" s="12">
        <f t="shared" si="8"/>
        <v>96.13333333333334</v>
      </c>
      <c r="AH51" s="12">
        <f t="shared" si="9"/>
        <v>0</v>
      </c>
      <c r="AI51" s="12">
        <f t="shared" si="10"/>
        <v>0</v>
      </c>
      <c r="AJ51" s="12">
        <f t="shared" si="11"/>
        <v>0.18262411347517732</v>
      </c>
      <c r="AK51" s="12">
        <f t="shared" si="12"/>
        <v>0</v>
      </c>
      <c r="AL51" s="12">
        <f t="shared" si="13"/>
        <v>0.18262411347517732</v>
      </c>
      <c r="AM51" s="13">
        <f t="shared" si="30"/>
        <v>0</v>
      </c>
      <c r="AN51" s="13">
        <f t="shared" si="31"/>
        <v>150</v>
      </c>
      <c r="AO51" s="13">
        <f t="shared" si="19"/>
        <v>0</v>
      </c>
      <c r="AP51" s="13">
        <f t="shared" si="20"/>
        <v>0</v>
      </c>
      <c r="AQ51" s="12">
        <f t="shared" si="32"/>
        <v>3803</v>
      </c>
      <c r="AR51" s="13">
        <f t="shared" si="21"/>
        <v>507.06666666666666</v>
      </c>
      <c r="AS51" s="21" t="s">
        <v>188</v>
      </c>
    </row>
    <row r="52" spans="1:45" x14ac:dyDescent="0.25">
      <c r="A52" s="22">
        <v>45434</v>
      </c>
      <c r="B52" s="10" t="str">
        <f t="shared" si="22"/>
        <v>2024</v>
      </c>
      <c r="C52" s="10" t="str">
        <f t="shared" si="23"/>
        <v>May</v>
      </c>
      <c r="D52" s="10"/>
      <c r="E52" s="11">
        <v>364</v>
      </c>
      <c r="F52" s="12">
        <f t="shared" si="33"/>
        <v>4368</v>
      </c>
      <c r="G52" s="14" t="s">
        <v>31</v>
      </c>
      <c r="H52" s="6">
        <v>0</v>
      </c>
      <c r="I52" s="6">
        <v>57</v>
      </c>
      <c r="J52" s="6">
        <f t="shared" si="24"/>
        <v>2456</v>
      </c>
      <c r="K52" s="6"/>
      <c r="L52" s="6">
        <v>2099</v>
      </c>
      <c r="M52" s="6"/>
      <c r="N52" s="6">
        <v>357</v>
      </c>
      <c r="O52" s="6"/>
      <c r="P52" s="6">
        <v>1260</v>
      </c>
      <c r="Q52" s="6">
        <v>80</v>
      </c>
      <c r="R52" s="6">
        <v>3171</v>
      </c>
      <c r="S52" s="6">
        <v>0</v>
      </c>
      <c r="T52" s="6">
        <v>0</v>
      </c>
      <c r="U52" s="14" t="s">
        <v>32</v>
      </c>
      <c r="V52" s="14"/>
      <c r="W52" s="6">
        <v>11</v>
      </c>
      <c r="X52" s="6">
        <v>8.4</v>
      </c>
      <c r="Y52" s="15">
        <f t="shared" si="25"/>
        <v>0.12727272727272729</v>
      </c>
      <c r="Z52" s="16">
        <f t="shared" si="26"/>
        <v>0.76363636363636367</v>
      </c>
      <c r="AA52" s="16"/>
      <c r="AB52" s="16"/>
      <c r="AC52" s="13">
        <f t="shared" si="27"/>
        <v>9.5238095238095237</v>
      </c>
      <c r="AD52" s="13">
        <f t="shared" si="28"/>
        <v>0</v>
      </c>
      <c r="AE52" s="13">
        <f t="shared" si="29"/>
        <v>292.38095238095235</v>
      </c>
      <c r="AF52" s="12"/>
      <c r="AG52" s="12">
        <f t="shared" si="8"/>
        <v>42.5</v>
      </c>
      <c r="AH52" s="12">
        <f t="shared" si="9"/>
        <v>0</v>
      </c>
      <c r="AI52" s="12">
        <f t="shared" si="10"/>
        <v>0</v>
      </c>
      <c r="AJ52" s="12">
        <f t="shared" si="11"/>
        <v>8.1730769230769232E-2</v>
      </c>
      <c r="AK52" s="12">
        <f t="shared" si="12"/>
        <v>0</v>
      </c>
      <c r="AL52" s="12">
        <f t="shared" si="13"/>
        <v>8.1730769230769232E-2</v>
      </c>
      <c r="AM52" s="13">
        <f t="shared" si="30"/>
        <v>377.5</v>
      </c>
      <c r="AN52" s="13">
        <f t="shared" si="31"/>
        <v>150</v>
      </c>
      <c r="AO52" s="13">
        <f t="shared" ref="AO52:AO83" si="34">S52/X52</f>
        <v>0</v>
      </c>
      <c r="AP52" s="13">
        <f t="shared" ref="AP52:AP83" si="35">T52/X52</f>
        <v>0</v>
      </c>
      <c r="AQ52" s="12">
        <f t="shared" si="32"/>
        <v>6967</v>
      </c>
      <c r="AR52" s="13">
        <f t="shared" si="21"/>
        <v>829.40476190476181</v>
      </c>
      <c r="AS52" s="21" t="s">
        <v>189</v>
      </c>
    </row>
    <row r="53" spans="1:45" x14ac:dyDescent="0.25">
      <c r="A53" s="22">
        <v>45435</v>
      </c>
      <c r="B53" s="10" t="str">
        <f t="shared" si="22"/>
        <v>2024</v>
      </c>
      <c r="C53" s="10" t="str">
        <f t="shared" si="23"/>
        <v>May</v>
      </c>
      <c r="D53" s="10"/>
      <c r="E53" s="11">
        <v>343</v>
      </c>
      <c r="F53" s="12">
        <f t="shared" si="33"/>
        <v>4116</v>
      </c>
      <c r="G53" s="14" t="s">
        <v>31</v>
      </c>
      <c r="H53" s="6">
        <v>0</v>
      </c>
      <c r="I53" s="6">
        <v>57</v>
      </c>
      <c r="J53" s="6">
        <f t="shared" si="24"/>
        <v>2016</v>
      </c>
      <c r="K53" s="6"/>
      <c r="L53" s="6">
        <v>2016</v>
      </c>
      <c r="M53" s="6"/>
      <c r="N53" s="6">
        <v>0</v>
      </c>
      <c r="O53" s="6"/>
      <c r="P53" s="6">
        <v>1065</v>
      </c>
      <c r="Q53" s="6">
        <v>70</v>
      </c>
      <c r="R53" s="6">
        <v>1754</v>
      </c>
      <c r="S53" s="6">
        <v>0</v>
      </c>
      <c r="T53" s="6">
        <v>0</v>
      </c>
      <c r="U53" s="14" t="s">
        <v>32</v>
      </c>
      <c r="V53" s="14"/>
      <c r="W53" s="6">
        <v>11</v>
      </c>
      <c r="X53" s="6">
        <v>7.1</v>
      </c>
      <c r="Y53" s="15">
        <f t="shared" si="25"/>
        <v>0.10757575757575757</v>
      </c>
      <c r="Z53" s="16">
        <f t="shared" si="26"/>
        <v>0.64545454545454539</v>
      </c>
      <c r="AA53" s="16"/>
      <c r="AB53" s="16"/>
      <c r="AC53" s="13">
        <f t="shared" si="27"/>
        <v>9.8591549295774659</v>
      </c>
      <c r="AD53" s="13">
        <f t="shared" si="28"/>
        <v>0</v>
      </c>
      <c r="AE53" s="13">
        <f t="shared" si="29"/>
        <v>283.94366197183098</v>
      </c>
      <c r="AF53" s="12"/>
      <c r="AG53" s="12"/>
      <c r="AH53" s="12">
        <f t="shared" si="9"/>
        <v>0</v>
      </c>
      <c r="AI53" s="12">
        <f t="shared" si="10"/>
        <v>0</v>
      </c>
      <c r="AJ53" s="12">
        <f t="shared" si="11"/>
        <v>0</v>
      </c>
      <c r="AK53" s="12">
        <f t="shared" si="12"/>
        <v>0</v>
      </c>
      <c r="AL53" s="12">
        <f t="shared" si="13"/>
        <v>0</v>
      </c>
      <c r="AM53" s="13">
        <f t="shared" si="30"/>
        <v>247.04225352112678</v>
      </c>
      <c r="AN53" s="13">
        <f t="shared" si="31"/>
        <v>150</v>
      </c>
      <c r="AO53" s="13">
        <f t="shared" si="34"/>
        <v>0</v>
      </c>
      <c r="AP53" s="13">
        <f t="shared" si="35"/>
        <v>0</v>
      </c>
      <c r="AQ53" s="12">
        <f t="shared" si="32"/>
        <v>4905</v>
      </c>
      <c r="AR53" s="13">
        <f t="shared" ref="AR53:AR84" si="36">AO53+AN53+AM53+AE53+AD53+AC53</f>
        <v>690.84507042253517</v>
      </c>
      <c r="AS53" s="21" t="s">
        <v>190</v>
      </c>
    </row>
    <row r="54" spans="1:45" x14ac:dyDescent="0.25">
      <c r="A54" s="22">
        <v>45436</v>
      </c>
      <c r="B54" s="10" t="str">
        <f t="shared" si="22"/>
        <v>2024</v>
      </c>
      <c r="C54" s="10" t="str">
        <f t="shared" si="23"/>
        <v>May</v>
      </c>
      <c r="D54" s="10"/>
      <c r="E54" s="11">
        <v>94</v>
      </c>
      <c r="F54" s="12">
        <f t="shared" si="33"/>
        <v>1128</v>
      </c>
      <c r="G54" s="14" t="s">
        <v>31</v>
      </c>
      <c r="H54" s="6">
        <v>0</v>
      </c>
      <c r="I54" s="6">
        <v>57</v>
      </c>
      <c r="J54" s="6">
        <f t="shared" si="24"/>
        <v>918</v>
      </c>
      <c r="K54" s="6"/>
      <c r="L54" s="6">
        <v>918</v>
      </c>
      <c r="M54" s="6"/>
      <c r="N54" s="6">
        <v>0</v>
      </c>
      <c r="O54" s="6"/>
      <c r="P54" s="6">
        <v>450</v>
      </c>
      <c r="Q54" s="6">
        <v>30</v>
      </c>
      <c r="R54" s="6">
        <v>814</v>
      </c>
      <c r="S54" s="6">
        <v>0</v>
      </c>
      <c r="T54" s="6">
        <v>0</v>
      </c>
      <c r="U54" s="14" t="s">
        <v>32</v>
      </c>
      <c r="V54" s="14"/>
      <c r="W54" s="6">
        <v>5</v>
      </c>
      <c r="X54" s="6">
        <v>3</v>
      </c>
      <c r="Y54" s="15">
        <f t="shared" si="25"/>
        <v>0.1</v>
      </c>
      <c r="Z54" s="16">
        <f t="shared" si="26"/>
        <v>0.6</v>
      </c>
      <c r="AA54" s="16"/>
      <c r="AB54" s="16"/>
      <c r="AC54" s="13">
        <f t="shared" si="27"/>
        <v>10</v>
      </c>
      <c r="AD54" s="13">
        <f t="shared" si="28"/>
        <v>0</v>
      </c>
      <c r="AE54" s="13">
        <f t="shared" si="29"/>
        <v>306</v>
      </c>
      <c r="AF54" s="12"/>
      <c r="AG54" s="12"/>
      <c r="AH54" s="12">
        <f t="shared" si="9"/>
        <v>0</v>
      </c>
      <c r="AI54" s="12">
        <f t="shared" si="10"/>
        <v>0</v>
      </c>
      <c r="AJ54" s="12">
        <f t="shared" si="11"/>
        <v>0</v>
      </c>
      <c r="AK54" s="12">
        <f t="shared" si="12"/>
        <v>0</v>
      </c>
      <c r="AL54" s="12">
        <f t="shared" si="13"/>
        <v>0</v>
      </c>
      <c r="AM54" s="13">
        <f t="shared" si="30"/>
        <v>271.33333333333331</v>
      </c>
      <c r="AN54" s="13">
        <f t="shared" si="31"/>
        <v>150</v>
      </c>
      <c r="AO54" s="13">
        <f t="shared" si="34"/>
        <v>0</v>
      </c>
      <c r="AP54" s="13">
        <f t="shared" si="35"/>
        <v>0</v>
      </c>
      <c r="AQ54" s="12">
        <f t="shared" si="32"/>
        <v>2212</v>
      </c>
      <c r="AR54" s="13">
        <f t="shared" si="36"/>
        <v>737.33333333333326</v>
      </c>
      <c r="AS54" s="21" t="s">
        <v>191</v>
      </c>
    </row>
    <row r="55" spans="1:45" x14ac:dyDescent="0.25">
      <c r="A55" s="22">
        <v>45440</v>
      </c>
      <c r="B55" s="10" t="str">
        <f t="shared" si="22"/>
        <v>2024</v>
      </c>
      <c r="C55" s="10" t="str">
        <f t="shared" si="23"/>
        <v>May</v>
      </c>
      <c r="D55" s="10"/>
      <c r="E55" s="11">
        <v>22</v>
      </c>
      <c r="F55" s="12">
        <f t="shared" si="33"/>
        <v>264</v>
      </c>
      <c r="G55" s="14" t="s">
        <v>31</v>
      </c>
      <c r="H55" s="6">
        <v>0</v>
      </c>
      <c r="I55" s="6">
        <v>57</v>
      </c>
      <c r="J55" s="6">
        <f t="shared" si="24"/>
        <v>189</v>
      </c>
      <c r="K55" s="6"/>
      <c r="L55" s="6">
        <v>135</v>
      </c>
      <c r="M55" s="6"/>
      <c r="N55" s="6">
        <v>54</v>
      </c>
      <c r="O55" s="6"/>
      <c r="P55" s="6">
        <v>75</v>
      </c>
      <c r="Q55" s="6">
        <v>5</v>
      </c>
      <c r="R55" s="6">
        <v>0</v>
      </c>
      <c r="S55" s="6">
        <v>0</v>
      </c>
      <c r="T55" s="6">
        <v>0</v>
      </c>
      <c r="U55" s="14" t="s">
        <v>32</v>
      </c>
      <c r="V55" s="14"/>
      <c r="W55" s="6">
        <v>0.5</v>
      </c>
      <c r="X55" s="6">
        <v>0.5</v>
      </c>
      <c r="Y55" s="15">
        <f t="shared" si="25"/>
        <v>0.16666666666666666</v>
      </c>
      <c r="Z55" s="16">
        <f t="shared" si="26"/>
        <v>1</v>
      </c>
      <c r="AA55" s="16"/>
      <c r="AB55" s="16"/>
      <c r="AC55" s="13">
        <f t="shared" si="27"/>
        <v>10</v>
      </c>
      <c r="AD55" s="13">
        <f t="shared" si="28"/>
        <v>0</v>
      </c>
      <c r="AE55" s="13">
        <f t="shared" si="29"/>
        <v>378</v>
      </c>
      <c r="AF55" s="12"/>
      <c r="AG55" s="12">
        <f t="shared" si="8"/>
        <v>108</v>
      </c>
      <c r="AH55" s="12">
        <f t="shared" si="9"/>
        <v>0</v>
      </c>
      <c r="AI55" s="12">
        <f t="shared" si="10"/>
        <v>0</v>
      </c>
      <c r="AJ55" s="12">
        <f t="shared" si="11"/>
        <v>0.20454545454545456</v>
      </c>
      <c r="AK55" s="12">
        <f t="shared" si="12"/>
        <v>0</v>
      </c>
      <c r="AL55" s="12">
        <f t="shared" si="13"/>
        <v>0.20454545454545456</v>
      </c>
      <c r="AM55" s="13">
        <f t="shared" si="30"/>
        <v>0</v>
      </c>
      <c r="AN55" s="13">
        <f t="shared" si="31"/>
        <v>150</v>
      </c>
      <c r="AO55" s="13">
        <f t="shared" si="34"/>
        <v>0</v>
      </c>
      <c r="AP55" s="13">
        <f t="shared" si="35"/>
        <v>0</v>
      </c>
      <c r="AQ55" s="12">
        <f t="shared" si="32"/>
        <v>269</v>
      </c>
      <c r="AR55" s="13">
        <f t="shared" si="36"/>
        <v>538</v>
      </c>
      <c r="AS55" s="21" t="s">
        <v>192</v>
      </c>
    </row>
    <row r="56" spans="1:45" x14ac:dyDescent="0.25">
      <c r="A56" s="22">
        <v>45441</v>
      </c>
      <c r="B56" s="10" t="str">
        <f t="shared" si="22"/>
        <v>2024</v>
      </c>
      <c r="C56" s="10" t="str">
        <f t="shared" si="23"/>
        <v>May</v>
      </c>
      <c r="D56" s="10"/>
      <c r="E56" s="11">
        <v>384</v>
      </c>
      <c r="F56" s="12">
        <f t="shared" si="33"/>
        <v>4608</v>
      </c>
      <c r="G56" s="14" t="s">
        <v>31</v>
      </c>
      <c r="H56" s="6">
        <v>0</v>
      </c>
      <c r="I56" s="6">
        <v>57</v>
      </c>
      <c r="J56" s="6">
        <f t="shared" si="24"/>
        <v>3029</v>
      </c>
      <c r="K56" s="6"/>
      <c r="L56" s="6">
        <v>2106</v>
      </c>
      <c r="M56" s="6"/>
      <c r="N56" s="6">
        <v>923</v>
      </c>
      <c r="O56" s="6"/>
      <c r="P56" s="6">
        <v>1245</v>
      </c>
      <c r="Q56" s="6">
        <v>80</v>
      </c>
      <c r="R56" s="6">
        <v>0</v>
      </c>
      <c r="S56" s="6">
        <v>0</v>
      </c>
      <c r="T56" s="6">
        <v>0</v>
      </c>
      <c r="U56" s="14" t="s">
        <v>32</v>
      </c>
      <c r="V56" s="14"/>
      <c r="W56" s="6">
        <v>12</v>
      </c>
      <c r="X56" s="6">
        <v>8.3000000000000007</v>
      </c>
      <c r="Y56" s="15">
        <f t="shared" si="25"/>
        <v>0.11527777777777778</v>
      </c>
      <c r="Z56" s="16">
        <f t="shared" si="26"/>
        <v>0.69166666666666676</v>
      </c>
      <c r="AA56" s="16"/>
      <c r="AB56" s="16"/>
      <c r="AC56" s="13">
        <f t="shared" si="27"/>
        <v>9.6385542168674689</v>
      </c>
      <c r="AD56" s="13">
        <f t="shared" si="28"/>
        <v>0</v>
      </c>
      <c r="AE56" s="13">
        <f t="shared" si="29"/>
        <v>364.93975903614455</v>
      </c>
      <c r="AF56" s="12"/>
      <c r="AG56" s="12">
        <f t="shared" si="8"/>
        <v>111.20481927710843</v>
      </c>
      <c r="AH56" s="12">
        <f t="shared" si="9"/>
        <v>0</v>
      </c>
      <c r="AI56" s="12">
        <f t="shared" si="10"/>
        <v>0</v>
      </c>
      <c r="AJ56" s="12">
        <f t="shared" si="11"/>
        <v>0.20030381944444445</v>
      </c>
      <c r="AK56" s="12">
        <f t="shared" si="12"/>
        <v>0</v>
      </c>
      <c r="AL56" s="12">
        <f t="shared" si="13"/>
        <v>0.20030381944444445</v>
      </c>
      <c r="AM56" s="13">
        <f t="shared" si="30"/>
        <v>0</v>
      </c>
      <c r="AN56" s="13">
        <f t="shared" si="31"/>
        <v>150</v>
      </c>
      <c r="AO56" s="13">
        <f t="shared" si="34"/>
        <v>0</v>
      </c>
      <c r="AP56" s="13">
        <f t="shared" si="35"/>
        <v>0</v>
      </c>
      <c r="AQ56" s="12">
        <f t="shared" si="32"/>
        <v>4354</v>
      </c>
      <c r="AR56" s="13">
        <f t="shared" si="36"/>
        <v>524.57831325301197</v>
      </c>
      <c r="AS56" s="21" t="s">
        <v>193</v>
      </c>
    </row>
    <row r="57" spans="1:45" x14ac:dyDescent="0.25">
      <c r="A57" s="22">
        <v>45442</v>
      </c>
      <c r="B57" s="10" t="str">
        <f t="shared" si="22"/>
        <v>2024</v>
      </c>
      <c r="C57" s="10" t="str">
        <f t="shared" si="23"/>
        <v>May</v>
      </c>
      <c r="D57" s="10"/>
      <c r="E57" s="11">
        <v>303</v>
      </c>
      <c r="F57" s="12">
        <f t="shared" si="33"/>
        <v>3636</v>
      </c>
      <c r="G57" s="14" t="s">
        <v>31</v>
      </c>
      <c r="H57" s="6">
        <v>0</v>
      </c>
      <c r="I57" s="6">
        <v>57</v>
      </c>
      <c r="J57" s="6">
        <f t="shared" si="24"/>
        <v>1458</v>
      </c>
      <c r="K57" s="6"/>
      <c r="L57" s="6">
        <v>674</v>
      </c>
      <c r="M57" s="6"/>
      <c r="N57" s="6">
        <v>784</v>
      </c>
      <c r="O57" s="6"/>
      <c r="P57" s="6">
        <v>900</v>
      </c>
      <c r="Q57" s="6">
        <v>60</v>
      </c>
      <c r="R57" s="6">
        <v>0</v>
      </c>
      <c r="S57" s="6">
        <v>0</v>
      </c>
      <c r="T57" s="6">
        <v>0</v>
      </c>
      <c r="U57" s="14" t="s">
        <v>32</v>
      </c>
      <c r="V57" s="14"/>
      <c r="W57" s="6">
        <v>10</v>
      </c>
      <c r="X57" s="6">
        <v>6.6</v>
      </c>
      <c r="Y57" s="15">
        <f t="shared" si="25"/>
        <v>0.11</v>
      </c>
      <c r="Z57" s="16">
        <f t="shared" si="26"/>
        <v>0.65999999999999992</v>
      </c>
      <c r="AA57" s="16"/>
      <c r="AB57" s="16"/>
      <c r="AC57" s="13">
        <f t="shared" si="27"/>
        <v>9.0909090909090917</v>
      </c>
      <c r="AD57" s="13">
        <f t="shared" si="28"/>
        <v>0</v>
      </c>
      <c r="AE57" s="13">
        <f t="shared" si="29"/>
        <v>220.90909090909093</v>
      </c>
      <c r="AF57" s="12"/>
      <c r="AG57" s="12">
        <f t="shared" si="8"/>
        <v>118.7878787878788</v>
      </c>
      <c r="AH57" s="12">
        <f t="shared" si="9"/>
        <v>0</v>
      </c>
      <c r="AI57" s="12">
        <f t="shared" si="10"/>
        <v>0</v>
      </c>
      <c r="AJ57" s="12">
        <f t="shared" si="11"/>
        <v>0.21562156215621561</v>
      </c>
      <c r="AK57" s="12">
        <f t="shared" si="12"/>
        <v>0</v>
      </c>
      <c r="AL57" s="12">
        <f t="shared" si="13"/>
        <v>0.21562156215621561</v>
      </c>
      <c r="AM57" s="13">
        <f t="shared" si="30"/>
        <v>0</v>
      </c>
      <c r="AN57" s="13">
        <f t="shared" si="31"/>
        <v>136.36363636363637</v>
      </c>
      <c r="AO57" s="13">
        <f t="shared" si="34"/>
        <v>0</v>
      </c>
      <c r="AP57" s="13">
        <f t="shared" si="35"/>
        <v>0</v>
      </c>
      <c r="AQ57" s="12">
        <f t="shared" si="32"/>
        <v>2418</v>
      </c>
      <c r="AR57" s="13">
        <f t="shared" si="36"/>
        <v>366.36363636363637</v>
      </c>
      <c r="AS57" s="17" t="s">
        <v>194</v>
      </c>
    </row>
    <row r="58" spans="1:45" x14ac:dyDescent="0.25">
      <c r="A58" s="22">
        <v>45443</v>
      </c>
      <c r="B58" s="10" t="str">
        <f t="shared" si="22"/>
        <v>2024</v>
      </c>
      <c r="C58" s="10" t="str">
        <f t="shared" si="23"/>
        <v>May</v>
      </c>
      <c r="D58" s="10"/>
      <c r="E58" s="11">
        <v>332</v>
      </c>
      <c r="F58" s="12">
        <f t="shared" si="33"/>
        <v>3984</v>
      </c>
      <c r="G58" s="14" t="s">
        <v>31</v>
      </c>
      <c r="H58" s="6">
        <v>0</v>
      </c>
      <c r="I58" s="6">
        <v>57</v>
      </c>
      <c r="J58" s="6">
        <f t="shared" si="24"/>
        <v>2617</v>
      </c>
      <c r="K58" s="6"/>
      <c r="L58" s="6">
        <v>1756</v>
      </c>
      <c r="M58" s="6"/>
      <c r="N58" s="6">
        <v>861</v>
      </c>
      <c r="O58" s="6"/>
      <c r="P58" s="6">
        <v>1000</v>
      </c>
      <c r="Q58" s="6">
        <v>0</v>
      </c>
      <c r="R58" s="6">
        <v>0</v>
      </c>
      <c r="S58" s="6">
        <v>0</v>
      </c>
      <c r="T58" s="6">
        <v>0</v>
      </c>
      <c r="U58" s="14" t="s">
        <v>32</v>
      </c>
      <c r="V58" s="14"/>
      <c r="W58" s="6">
        <v>9</v>
      </c>
      <c r="X58" s="6">
        <v>6.7</v>
      </c>
      <c r="Y58" s="15">
        <f t="shared" si="25"/>
        <v>0.12407407407407407</v>
      </c>
      <c r="Z58" s="16">
        <f t="shared" si="26"/>
        <v>0.74444444444444446</v>
      </c>
      <c r="AA58" s="16"/>
      <c r="AB58" s="16"/>
      <c r="AC58" s="13">
        <f t="shared" si="27"/>
        <v>0</v>
      </c>
      <c r="AD58" s="13">
        <f t="shared" si="28"/>
        <v>0</v>
      </c>
      <c r="AE58" s="13">
        <f t="shared" si="29"/>
        <v>390.59701492537312</v>
      </c>
      <c r="AF58" s="12"/>
      <c r="AG58" s="12">
        <f t="shared" si="8"/>
        <v>128.50746268656715</v>
      </c>
      <c r="AH58" s="12">
        <f t="shared" si="9"/>
        <v>0</v>
      </c>
      <c r="AI58" s="12">
        <f t="shared" si="10"/>
        <v>0</v>
      </c>
      <c r="AJ58" s="12">
        <f t="shared" si="11"/>
        <v>0.2161144578313253</v>
      </c>
      <c r="AK58" s="12">
        <f t="shared" si="12"/>
        <v>0</v>
      </c>
      <c r="AL58" s="12">
        <f t="shared" si="13"/>
        <v>0.2161144578313253</v>
      </c>
      <c r="AM58" s="13">
        <f t="shared" si="30"/>
        <v>0</v>
      </c>
      <c r="AN58" s="13">
        <f t="shared" si="31"/>
        <v>149.25373134328359</v>
      </c>
      <c r="AO58" s="13">
        <f t="shared" si="34"/>
        <v>0</v>
      </c>
      <c r="AP58" s="13">
        <f t="shared" si="35"/>
        <v>0</v>
      </c>
      <c r="AQ58" s="12">
        <f t="shared" si="32"/>
        <v>3617</v>
      </c>
      <c r="AR58" s="13">
        <f t="shared" si="36"/>
        <v>539.85074626865674</v>
      </c>
      <c r="AS58" s="17" t="s">
        <v>195</v>
      </c>
    </row>
    <row r="59" spans="1:45" x14ac:dyDescent="0.25">
      <c r="A59" s="22">
        <v>45444</v>
      </c>
      <c r="B59" s="10" t="str">
        <f t="shared" si="22"/>
        <v>2024</v>
      </c>
      <c r="C59" s="10" t="str">
        <f t="shared" si="23"/>
        <v>June</v>
      </c>
      <c r="D59" s="10"/>
      <c r="E59" s="11">
        <v>190</v>
      </c>
      <c r="F59" s="12">
        <f t="shared" si="33"/>
        <v>2280</v>
      </c>
      <c r="G59" s="14" t="s">
        <v>31</v>
      </c>
      <c r="H59" s="6">
        <v>0</v>
      </c>
      <c r="I59" s="6">
        <v>57</v>
      </c>
      <c r="J59" s="6">
        <f t="shared" si="24"/>
        <v>1443</v>
      </c>
      <c r="K59" s="6"/>
      <c r="L59" s="6">
        <v>983</v>
      </c>
      <c r="M59" s="6"/>
      <c r="N59" s="6">
        <v>460</v>
      </c>
      <c r="O59" s="6"/>
      <c r="P59" s="6">
        <v>660</v>
      </c>
      <c r="Q59" s="6">
        <v>0</v>
      </c>
      <c r="R59" s="6">
        <v>0</v>
      </c>
      <c r="S59" s="6">
        <v>0</v>
      </c>
      <c r="T59" s="6">
        <v>0</v>
      </c>
      <c r="U59" s="14" t="s">
        <v>32</v>
      </c>
      <c r="V59" s="14"/>
      <c r="W59" s="6">
        <v>6</v>
      </c>
      <c r="X59" s="6">
        <v>4.4000000000000004</v>
      </c>
      <c r="Y59" s="15">
        <f t="shared" si="25"/>
        <v>0.12222222222222223</v>
      </c>
      <c r="Z59" s="16">
        <f t="shared" si="26"/>
        <v>0.73333333333333339</v>
      </c>
      <c r="AA59" s="16"/>
      <c r="AB59" s="16"/>
      <c r="AC59" s="13">
        <f t="shared" si="27"/>
        <v>0</v>
      </c>
      <c r="AD59" s="13">
        <f t="shared" si="28"/>
        <v>0</v>
      </c>
      <c r="AE59" s="13">
        <f t="shared" si="29"/>
        <v>327.95454545454544</v>
      </c>
      <c r="AF59" s="12"/>
      <c r="AG59" s="12">
        <f t="shared" si="8"/>
        <v>104.54545454545453</v>
      </c>
      <c r="AH59" s="12">
        <f t="shared" si="9"/>
        <v>0</v>
      </c>
      <c r="AI59" s="12">
        <f t="shared" si="10"/>
        <v>0</v>
      </c>
      <c r="AJ59" s="12">
        <f t="shared" si="11"/>
        <v>0.20175438596491227</v>
      </c>
      <c r="AK59" s="12">
        <f t="shared" si="12"/>
        <v>0</v>
      </c>
      <c r="AL59" s="12">
        <f t="shared" si="13"/>
        <v>0.20175438596491227</v>
      </c>
      <c r="AM59" s="13">
        <f t="shared" si="30"/>
        <v>0</v>
      </c>
      <c r="AN59" s="13">
        <f t="shared" si="31"/>
        <v>150</v>
      </c>
      <c r="AO59" s="13">
        <f t="shared" si="34"/>
        <v>0</v>
      </c>
      <c r="AP59" s="13">
        <f t="shared" si="35"/>
        <v>0</v>
      </c>
      <c r="AQ59" s="12">
        <f t="shared" si="32"/>
        <v>2103</v>
      </c>
      <c r="AR59" s="13">
        <f t="shared" si="36"/>
        <v>477.95454545454544</v>
      </c>
      <c r="AS59" s="17" t="s">
        <v>196</v>
      </c>
    </row>
    <row r="60" spans="1:45" x14ac:dyDescent="0.25">
      <c r="A60" s="22">
        <v>45446</v>
      </c>
      <c r="B60" s="10" t="str">
        <f t="shared" si="22"/>
        <v>2024</v>
      </c>
      <c r="C60" s="10" t="str">
        <f t="shared" si="23"/>
        <v>June</v>
      </c>
      <c r="D60" s="10"/>
      <c r="E60" s="11">
        <v>121</v>
      </c>
      <c r="F60" s="12">
        <f t="shared" si="33"/>
        <v>1452</v>
      </c>
      <c r="G60" s="14" t="s">
        <v>31</v>
      </c>
      <c r="H60" s="6">
        <v>0</v>
      </c>
      <c r="I60" s="6">
        <v>57</v>
      </c>
      <c r="J60" s="6">
        <f t="shared" si="24"/>
        <v>965</v>
      </c>
      <c r="K60" s="6"/>
      <c r="L60" s="6">
        <v>833</v>
      </c>
      <c r="M60" s="6"/>
      <c r="N60" s="6">
        <v>132</v>
      </c>
      <c r="O60" s="6"/>
      <c r="P60" s="6">
        <v>615</v>
      </c>
      <c r="Q60" s="6">
        <v>0</v>
      </c>
      <c r="R60" s="6">
        <v>0</v>
      </c>
      <c r="S60" s="6">
        <v>0</v>
      </c>
      <c r="T60" s="6">
        <v>0</v>
      </c>
      <c r="U60" s="14" t="s">
        <v>32</v>
      </c>
      <c r="V60" s="14"/>
      <c r="W60" s="6">
        <v>6</v>
      </c>
      <c r="X60" s="6">
        <v>4.0999999999999996</v>
      </c>
      <c r="Y60" s="15">
        <f t="shared" si="25"/>
        <v>0.11388888888888887</v>
      </c>
      <c r="Z60" s="16">
        <f t="shared" si="26"/>
        <v>0.68333333333333324</v>
      </c>
      <c r="AA60" s="16"/>
      <c r="AB60" s="16"/>
      <c r="AC60" s="13">
        <f t="shared" si="27"/>
        <v>0</v>
      </c>
      <c r="AD60" s="13">
        <f t="shared" si="28"/>
        <v>0</v>
      </c>
      <c r="AE60" s="13">
        <f t="shared" si="29"/>
        <v>235.36585365853659</v>
      </c>
      <c r="AF60" s="12"/>
      <c r="AG60" s="12">
        <f t="shared" si="8"/>
        <v>32.195121951219512</v>
      </c>
      <c r="AH60" s="12">
        <f t="shared" si="9"/>
        <v>0</v>
      </c>
      <c r="AI60" s="12">
        <f t="shared" si="10"/>
        <v>0</v>
      </c>
      <c r="AJ60" s="12">
        <f t="shared" si="11"/>
        <v>9.0909090909090912E-2</v>
      </c>
      <c r="AK60" s="12">
        <f t="shared" si="12"/>
        <v>0</v>
      </c>
      <c r="AL60" s="12">
        <f t="shared" si="13"/>
        <v>9.0909090909090912E-2</v>
      </c>
      <c r="AM60" s="13">
        <f t="shared" si="30"/>
        <v>0</v>
      </c>
      <c r="AN60" s="13">
        <f t="shared" si="31"/>
        <v>150</v>
      </c>
      <c r="AO60" s="13">
        <f t="shared" si="34"/>
        <v>0</v>
      </c>
      <c r="AP60" s="13">
        <f t="shared" si="35"/>
        <v>0</v>
      </c>
      <c r="AQ60" s="12">
        <f t="shared" si="32"/>
        <v>1580</v>
      </c>
      <c r="AR60" s="13">
        <f t="shared" si="36"/>
        <v>385.36585365853659</v>
      </c>
      <c r="AS60" s="17" t="s">
        <v>197</v>
      </c>
    </row>
    <row r="61" spans="1:45" x14ac:dyDescent="0.25">
      <c r="A61" s="22">
        <v>45447</v>
      </c>
      <c r="B61" s="10" t="str">
        <f t="shared" si="22"/>
        <v>2024</v>
      </c>
      <c r="C61" s="10" t="str">
        <f t="shared" si="23"/>
        <v>June</v>
      </c>
      <c r="D61" s="10"/>
      <c r="E61" s="11">
        <v>331</v>
      </c>
      <c r="F61" s="12">
        <f t="shared" si="33"/>
        <v>3972</v>
      </c>
      <c r="G61" s="14" t="s">
        <v>31</v>
      </c>
      <c r="H61" s="6">
        <v>0</v>
      </c>
      <c r="I61" s="6">
        <v>57</v>
      </c>
      <c r="J61" s="6">
        <f t="shared" si="24"/>
        <v>2040</v>
      </c>
      <c r="K61" s="6"/>
      <c r="L61" s="6">
        <v>2040</v>
      </c>
      <c r="M61" s="6"/>
      <c r="N61" s="6">
        <v>0</v>
      </c>
      <c r="O61" s="6"/>
      <c r="P61" s="6">
        <v>1530</v>
      </c>
      <c r="Q61" s="6">
        <v>0</v>
      </c>
      <c r="R61" s="6">
        <v>2886</v>
      </c>
      <c r="S61" s="6">
        <v>0</v>
      </c>
      <c r="T61" s="6">
        <v>0</v>
      </c>
      <c r="U61" s="14" t="s">
        <v>32</v>
      </c>
      <c r="V61" s="14"/>
      <c r="W61" s="6">
        <v>12</v>
      </c>
      <c r="X61" s="6">
        <v>10.199999999999999</v>
      </c>
      <c r="Y61" s="15">
        <f t="shared" si="25"/>
        <v>0.14166666666666666</v>
      </c>
      <c r="Z61" s="16">
        <f t="shared" si="26"/>
        <v>0.85</v>
      </c>
      <c r="AA61" s="16"/>
      <c r="AB61" s="16"/>
      <c r="AC61" s="13">
        <f t="shared" si="27"/>
        <v>0</v>
      </c>
      <c r="AD61" s="13">
        <f t="shared" si="28"/>
        <v>0</v>
      </c>
      <c r="AE61" s="13">
        <f t="shared" si="29"/>
        <v>200</v>
      </c>
      <c r="AF61" s="12"/>
      <c r="AG61" s="12"/>
      <c r="AH61" s="12">
        <f t="shared" si="9"/>
        <v>0</v>
      </c>
      <c r="AI61" s="12">
        <f t="shared" si="10"/>
        <v>0</v>
      </c>
      <c r="AJ61" s="12">
        <f t="shared" si="11"/>
        <v>0</v>
      </c>
      <c r="AK61" s="12">
        <f t="shared" si="12"/>
        <v>0</v>
      </c>
      <c r="AL61" s="12">
        <f t="shared" si="13"/>
        <v>0</v>
      </c>
      <c r="AM61" s="13">
        <f t="shared" si="30"/>
        <v>282.94117647058823</v>
      </c>
      <c r="AN61" s="13">
        <f t="shared" si="31"/>
        <v>150</v>
      </c>
      <c r="AO61" s="13">
        <f t="shared" si="34"/>
        <v>0</v>
      </c>
      <c r="AP61" s="13">
        <f t="shared" si="35"/>
        <v>0</v>
      </c>
      <c r="AQ61" s="12">
        <f t="shared" si="32"/>
        <v>6456</v>
      </c>
      <c r="AR61" s="13">
        <f t="shared" si="36"/>
        <v>632.94117647058829</v>
      </c>
      <c r="AS61" s="17" t="s">
        <v>198</v>
      </c>
    </row>
    <row r="62" spans="1:45" x14ac:dyDescent="0.25">
      <c r="A62" s="22">
        <v>45448</v>
      </c>
      <c r="B62" s="10" t="str">
        <f t="shared" si="22"/>
        <v>2024</v>
      </c>
      <c r="C62" s="10" t="str">
        <f t="shared" si="23"/>
        <v>June</v>
      </c>
      <c r="D62" s="10"/>
      <c r="E62" s="11">
        <v>317</v>
      </c>
      <c r="F62" s="12">
        <f t="shared" si="33"/>
        <v>3804</v>
      </c>
      <c r="G62" s="14" t="s">
        <v>31</v>
      </c>
      <c r="H62" s="6">
        <v>0</v>
      </c>
      <c r="I62" s="6">
        <v>57</v>
      </c>
      <c r="J62" s="6">
        <f t="shared" si="24"/>
        <v>1874</v>
      </c>
      <c r="K62" s="6"/>
      <c r="L62" s="6">
        <v>1874</v>
      </c>
      <c r="M62" s="6"/>
      <c r="N62" s="6">
        <v>0</v>
      </c>
      <c r="O62" s="6"/>
      <c r="P62" s="6">
        <v>1155</v>
      </c>
      <c r="Q62" s="6">
        <v>0</v>
      </c>
      <c r="R62" s="6">
        <v>2827</v>
      </c>
      <c r="S62" s="6">
        <v>0</v>
      </c>
      <c r="T62" s="6">
        <v>0</v>
      </c>
      <c r="U62" s="14" t="s">
        <v>32</v>
      </c>
      <c r="V62" s="14"/>
      <c r="W62" s="6">
        <v>12</v>
      </c>
      <c r="X62" s="6">
        <v>7.7</v>
      </c>
      <c r="Y62" s="15">
        <f t="shared" si="25"/>
        <v>0.10694444444444445</v>
      </c>
      <c r="Z62" s="16">
        <f t="shared" si="26"/>
        <v>0.64166666666666672</v>
      </c>
      <c r="AA62" s="16"/>
      <c r="AB62" s="16"/>
      <c r="AC62" s="13">
        <f t="shared" si="27"/>
        <v>0</v>
      </c>
      <c r="AD62" s="13">
        <f t="shared" si="28"/>
        <v>0</v>
      </c>
      <c r="AE62" s="13">
        <f t="shared" si="29"/>
        <v>243.37662337662337</v>
      </c>
      <c r="AF62" s="12"/>
      <c r="AG62" s="12"/>
      <c r="AH62" s="12">
        <f t="shared" si="9"/>
        <v>0</v>
      </c>
      <c r="AI62" s="12">
        <f t="shared" si="10"/>
        <v>0</v>
      </c>
      <c r="AJ62" s="12">
        <f t="shared" si="11"/>
        <v>0</v>
      </c>
      <c r="AK62" s="12">
        <f t="shared" si="12"/>
        <v>0</v>
      </c>
      <c r="AL62" s="12">
        <f t="shared" si="13"/>
        <v>0</v>
      </c>
      <c r="AM62" s="13">
        <f t="shared" si="30"/>
        <v>367.14285714285711</v>
      </c>
      <c r="AN62" s="13">
        <f t="shared" si="31"/>
        <v>150</v>
      </c>
      <c r="AO62" s="13">
        <f t="shared" si="34"/>
        <v>0</v>
      </c>
      <c r="AP62" s="13">
        <f t="shared" si="35"/>
        <v>0</v>
      </c>
      <c r="AQ62" s="12">
        <f t="shared" si="32"/>
        <v>5856</v>
      </c>
      <c r="AR62" s="13">
        <f t="shared" si="36"/>
        <v>760.51948051948045</v>
      </c>
      <c r="AS62" s="17" t="s">
        <v>199</v>
      </c>
    </row>
    <row r="63" spans="1:45" x14ac:dyDescent="0.25">
      <c r="A63" s="22">
        <v>45449</v>
      </c>
      <c r="B63" s="10" t="str">
        <f t="shared" si="22"/>
        <v>2024</v>
      </c>
      <c r="C63" s="10" t="str">
        <f t="shared" si="23"/>
        <v>June</v>
      </c>
      <c r="D63" s="10"/>
      <c r="E63" s="11">
        <v>172</v>
      </c>
      <c r="F63" s="12">
        <f t="shared" si="33"/>
        <v>2064</v>
      </c>
      <c r="G63" s="14" t="s">
        <v>31</v>
      </c>
      <c r="H63" s="6">
        <v>0</v>
      </c>
      <c r="I63" s="6">
        <v>57</v>
      </c>
      <c r="J63" s="6">
        <f t="shared" si="24"/>
        <v>973</v>
      </c>
      <c r="K63" s="6"/>
      <c r="L63" s="6">
        <v>973</v>
      </c>
      <c r="M63" s="6"/>
      <c r="N63" s="6">
        <v>0</v>
      </c>
      <c r="O63" s="6"/>
      <c r="P63" s="6">
        <v>615</v>
      </c>
      <c r="Q63" s="6">
        <v>0</v>
      </c>
      <c r="R63" s="6">
        <v>1499</v>
      </c>
      <c r="S63" s="6">
        <v>0</v>
      </c>
      <c r="T63" s="6">
        <v>0</v>
      </c>
      <c r="U63" s="14" t="s">
        <v>32</v>
      </c>
      <c r="V63" s="14"/>
      <c r="W63" s="6">
        <v>6</v>
      </c>
      <c r="X63" s="6">
        <v>4.0999999999999996</v>
      </c>
      <c r="Y63" s="15">
        <f t="shared" si="25"/>
        <v>0.11388888888888887</v>
      </c>
      <c r="Z63" s="16">
        <f t="shared" si="26"/>
        <v>0.68333333333333324</v>
      </c>
      <c r="AA63" s="16"/>
      <c r="AB63" s="16"/>
      <c r="AC63" s="13">
        <f t="shared" si="27"/>
        <v>0</v>
      </c>
      <c r="AD63" s="13">
        <f t="shared" si="28"/>
        <v>0</v>
      </c>
      <c r="AE63" s="13">
        <f t="shared" si="29"/>
        <v>237.31707317073173</v>
      </c>
      <c r="AF63" s="12"/>
      <c r="AG63" s="12"/>
      <c r="AH63" s="12">
        <f t="shared" si="9"/>
        <v>0</v>
      </c>
      <c r="AI63" s="12">
        <f t="shared" si="10"/>
        <v>0</v>
      </c>
      <c r="AJ63" s="12">
        <f t="shared" si="11"/>
        <v>0</v>
      </c>
      <c r="AK63" s="12">
        <f t="shared" si="12"/>
        <v>0</v>
      </c>
      <c r="AL63" s="12">
        <f t="shared" si="13"/>
        <v>0</v>
      </c>
      <c r="AM63" s="13">
        <f t="shared" si="30"/>
        <v>365.60975609756099</v>
      </c>
      <c r="AN63" s="13">
        <f t="shared" si="31"/>
        <v>150</v>
      </c>
      <c r="AO63" s="13">
        <f t="shared" si="34"/>
        <v>0</v>
      </c>
      <c r="AP63" s="13">
        <f t="shared" si="35"/>
        <v>0</v>
      </c>
      <c r="AQ63" s="12">
        <f t="shared" si="32"/>
        <v>3087</v>
      </c>
      <c r="AR63" s="13">
        <f t="shared" si="36"/>
        <v>752.92682926829275</v>
      </c>
      <c r="AS63" s="17" t="s">
        <v>200</v>
      </c>
    </row>
    <row r="64" spans="1:45" x14ac:dyDescent="0.25">
      <c r="A64" s="22">
        <v>45453</v>
      </c>
      <c r="B64" s="10" t="str">
        <f t="shared" si="22"/>
        <v>2024</v>
      </c>
      <c r="C64" s="10" t="str">
        <f t="shared" si="23"/>
        <v>June</v>
      </c>
      <c r="D64" s="10"/>
      <c r="E64" s="11">
        <v>344</v>
      </c>
      <c r="F64" s="12">
        <f t="shared" si="33"/>
        <v>4128</v>
      </c>
      <c r="G64" s="14" t="s">
        <v>31</v>
      </c>
      <c r="H64" s="6">
        <v>0</v>
      </c>
      <c r="I64" s="6">
        <v>57</v>
      </c>
      <c r="J64" s="6">
        <f t="shared" si="24"/>
        <v>1949</v>
      </c>
      <c r="K64" s="6"/>
      <c r="L64" s="6">
        <v>1949</v>
      </c>
      <c r="M64" s="6"/>
      <c r="N64" s="6">
        <v>0</v>
      </c>
      <c r="O64" s="6"/>
      <c r="P64" s="6">
        <v>1260</v>
      </c>
      <c r="Q64" s="6">
        <v>0</v>
      </c>
      <c r="R64" s="6">
        <v>2822</v>
      </c>
      <c r="S64" s="6">
        <v>0</v>
      </c>
      <c r="T64" s="6">
        <v>0</v>
      </c>
      <c r="U64" s="14" t="s">
        <v>32</v>
      </c>
      <c r="V64" s="14"/>
      <c r="W64" s="6">
        <v>12</v>
      </c>
      <c r="X64" s="6">
        <v>8.4</v>
      </c>
      <c r="Y64" s="15">
        <f t="shared" si="25"/>
        <v>0.11666666666666667</v>
      </c>
      <c r="Z64" s="16">
        <f t="shared" si="26"/>
        <v>0.70000000000000007</v>
      </c>
      <c r="AA64" s="16"/>
      <c r="AB64" s="16"/>
      <c r="AC64" s="13">
        <f t="shared" si="27"/>
        <v>0</v>
      </c>
      <c r="AD64" s="13">
        <f t="shared" si="28"/>
        <v>0</v>
      </c>
      <c r="AE64" s="13">
        <f t="shared" si="29"/>
        <v>232.02380952380952</v>
      </c>
      <c r="AF64" s="12"/>
      <c r="AG64" s="12"/>
      <c r="AH64" s="12">
        <f t="shared" si="9"/>
        <v>0</v>
      </c>
      <c r="AI64" s="12">
        <f t="shared" si="10"/>
        <v>0</v>
      </c>
      <c r="AJ64" s="12">
        <f t="shared" si="11"/>
        <v>0</v>
      </c>
      <c r="AK64" s="12">
        <f t="shared" si="12"/>
        <v>0</v>
      </c>
      <c r="AL64" s="12">
        <f t="shared" si="13"/>
        <v>0</v>
      </c>
      <c r="AM64" s="13">
        <f t="shared" si="30"/>
        <v>335.95238095238096</v>
      </c>
      <c r="AN64" s="13">
        <f t="shared" si="31"/>
        <v>150</v>
      </c>
      <c r="AO64" s="13">
        <f t="shared" si="34"/>
        <v>0</v>
      </c>
      <c r="AP64" s="13">
        <f t="shared" si="35"/>
        <v>0</v>
      </c>
      <c r="AQ64" s="12">
        <f t="shared" si="32"/>
        <v>6031</v>
      </c>
      <c r="AR64" s="13">
        <f t="shared" si="36"/>
        <v>717.97619047619048</v>
      </c>
      <c r="AS64" s="17" t="s">
        <v>202</v>
      </c>
    </row>
    <row r="65" spans="1:45" x14ac:dyDescent="0.25">
      <c r="A65" s="22">
        <v>45454</v>
      </c>
      <c r="B65" s="10" t="str">
        <f t="shared" si="22"/>
        <v>2024</v>
      </c>
      <c r="C65" s="10" t="str">
        <f t="shared" si="23"/>
        <v>June</v>
      </c>
      <c r="D65" s="10"/>
      <c r="E65" s="11">
        <v>367</v>
      </c>
      <c r="F65" s="12">
        <f t="shared" si="33"/>
        <v>4404</v>
      </c>
      <c r="G65" s="14" t="s">
        <v>31</v>
      </c>
      <c r="H65" s="6">
        <v>0</v>
      </c>
      <c r="I65" s="6">
        <v>57</v>
      </c>
      <c r="J65" s="6">
        <f t="shared" si="24"/>
        <v>1910</v>
      </c>
      <c r="K65" s="6"/>
      <c r="L65" s="6">
        <v>1910</v>
      </c>
      <c r="M65" s="6"/>
      <c r="N65" s="6">
        <v>0</v>
      </c>
      <c r="O65" s="6"/>
      <c r="P65" s="6">
        <v>1230</v>
      </c>
      <c r="Q65" s="6">
        <v>0</v>
      </c>
      <c r="R65" s="6">
        <v>2863</v>
      </c>
      <c r="S65" s="6">
        <v>0</v>
      </c>
      <c r="T65" s="6">
        <v>0</v>
      </c>
      <c r="U65" s="14" t="s">
        <v>32</v>
      </c>
      <c r="V65" s="14"/>
      <c r="W65" s="6">
        <v>12</v>
      </c>
      <c r="X65" s="6">
        <v>8.1999999999999993</v>
      </c>
      <c r="Y65" s="15">
        <f t="shared" si="25"/>
        <v>0.11388888888888887</v>
      </c>
      <c r="Z65" s="16">
        <f t="shared" si="26"/>
        <v>0.68333333333333324</v>
      </c>
      <c r="AA65" s="16"/>
      <c r="AB65" s="16"/>
      <c r="AC65" s="13">
        <f t="shared" si="27"/>
        <v>0</v>
      </c>
      <c r="AD65" s="13">
        <f t="shared" si="28"/>
        <v>0</v>
      </c>
      <c r="AE65" s="13">
        <f t="shared" si="29"/>
        <v>232.92682926829269</v>
      </c>
      <c r="AF65" s="12"/>
      <c r="AG65" s="12"/>
      <c r="AH65" s="12">
        <f t="shared" si="9"/>
        <v>0</v>
      </c>
      <c r="AI65" s="12">
        <f t="shared" si="10"/>
        <v>0</v>
      </c>
      <c r="AJ65" s="12">
        <f t="shared" si="11"/>
        <v>0</v>
      </c>
      <c r="AK65" s="12">
        <f t="shared" si="12"/>
        <v>0</v>
      </c>
      <c r="AL65" s="12">
        <f t="shared" si="13"/>
        <v>0</v>
      </c>
      <c r="AM65" s="13">
        <f t="shared" si="30"/>
        <v>349.14634146341467</v>
      </c>
      <c r="AN65" s="13">
        <f t="shared" si="31"/>
        <v>150</v>
      </c>
      <c r="AO65" s="13">
        <f t="shared" si="34"/>
        <v>0</v>
      </c>
      <c r="AP65" s="13">
        <f t="shared" si="35"/>
        <v>0</v>
      </c>
      <c r="AQ65" s="12">
        <f t="shared" si="32"/>
        <v>6003</v>
      </c>
      <c r="AR65" s="13">
        <f t="shared" si="36"/>
        <v>732.07317073170736</v>
      </c>
      <c r="AS65" s="17" t="s">
        <v>203</v>
      </c>
    </row>
    <row r="66" spans="1:45" x14ac:dyDescent="0.25">
      <c r="A66" s="22">
        <v>45455</v>
      </c>
      <c r="B66" s="10" t="str">
        <f t="shared" ref="B66:B97" si="37">TEXT(A66,"YYYY")</f>
        <v>2024</v>
      </c>
      <c r="C66" s="10" t="str">
        <f t="shared" ref="C66:C97" si="38">TEXT(A66,"MMMM")</f>
        <v>June</v>
      </c>
      <c r="D66" s="10"/>
      <c r="E66" s="11">
        <v>284</v>
      </c>
      <c r="F66" s="12">
        <f t="shared" si="33"/>
        <v>3408</v>
      </c>
      <c r="G66" s="14" t="s">
        <v>31</v>
      </c>
      <c r="H66" s="6">
        <v>0</v>
      </c>
      <c r="I66" s="6">
        <v>57</v>
      </c>
      <c r="J66" s="6">
        <f t="shared" ref="J66:J97" si="39">L66+N66</f>
        <v>1478</v>
      </c>
      <c r="K66" s="6"/>
      <c r="L66" s="6">
        <v>1478</v>
      </c>
      <c r="M66" s="6"/>
      <c r="N66" s="6">
        <v>0</v>
      </c>
      <c r="O66" s="6"/>
      <c r="P66" s="6">
        <v>1000</v>
      </c>
      <c r="Q66" s="6">
        <v>0</v>
      </c>
      <c r="R66" s="6">
        <v>2252</v>
      </c>
      <c r="S66" s="6">
        <v>0</v>
      </c>
      <c r="T66" s="6">
        <v>0</v>
      </c>
      <c r="U66" s="14" t="s">
        <v>32</v>
      </c>
      <c r="V66" s="14"/>
      <c r="W66" s="6">
        <v>11</v>
      </c>
      <c r="X66" s="6">
        <v>6.7</v>
      </c>
      <c r="Y66" s="15">
        <f t="shared" ref="Y66:Y97" si="40">SUM(X66)/(W66*X$2)</f>
        <v>0.10151515151515152</v>
      </c>
      <c r="Z66" s="16">
        <f t="shared" ref="Z66:Z97" si="41">X66/W66</f>
        <v>0.60909090909090913</v>
      </c>
      <c r="AA66" s="16"/>
      <c r="AB66" s="16"/>
      <c r="AC66" s="13">
        <f t="shared" ref="AC66:AC97" si="42">Q66/X66</f>
        <v>0</v>
      </c>
      <c r="AD66" s="13">
        <f t="shared" ref="AD66:AD97" si="43">H66/X66</f>
        <v>0</v>
      </c>
      <c r="AE66" s="13">
        <f t="shared" ref="AE66:AE97" si="44">J66/X66</f>
        <v>220.59701492537312</v>
      </c>
      <c r="AF66" s="12"/>
      <c r="AG66" s="12"/>
      <c r="AH66" s="12">
        <f t="shared" ref="AH66:AH129" si="45">IF(X66="","",IF(X66=0,"",O66/X66))</f>
        <v>0</v>
      </c>
      <c r="AI66" s="12">
        <f t="shared" ref="AI66:AI129" si="46">IF(X66="","",IF(X66=0,"",M66/F66))</f>
        <v>0</v>
      </c>
      <c r="AJ66" s="12">
        <f t="shared" ref="AJ66:AJ129" si="47">IF(X66="","",IF(X66=0,"",N66/F66))</f>
        <v>0</v>
      </c>
      <c r="AK66" s="12">
        <f t="shared" ref="AK66:AK129" si="48">IF(X66="","",IF(X66=0,"",O66/F66))</f>
        <v>0</v>
      </c>
      <c r="AL66" s="12">
        <f t="shared" ref="AL66:AL129" si="49">AI66+AJ66+AK66</f>
        <v>0</v>
      </c>
      <c r="AM66" s="13">
        <f t="shared" ref="AM66:AM97" si="50">R66/X66</f>
        <v>336.1194029850746</v>
      </c>
      <c r="AN66" s="13">
        <f t="shared" ref="AN66:AN97" si="51">P66/X66</f>
        <v>149.25373134328359</v>
      </c>
      <c r="AO66" s="13">
        <f t="shared" si="34"/>
        <v>0</v>
      </c>
      <c r="AP66" s="13">
        <f t="shared" si="35"/>
        <v>0</v>
      </c>
      <c r="AQ66" s="12">
        <f t="shared" ref="AQ66:AQ97" si="52">R66+Q66+P66+J66+H66</f>
        <v>4730</v>
      </c>
      <c r="AR66" s="13">
        <f t="shared" si="36"/>
        <v>705.97014925373128</v>
      </c>
      <c r="AS66" s="17" t="s">
        <v>204</v>
      </c>
    </row>
    <row r="67" spans="1:45" x14ac:dyDescent="0.25">
      <c r="A67" s="22">
        <v>45457</v>
      </c>
      <c r="B67" s="10" t="str">
        <f t="shared" si="37"/>
        <v>2024</v>
      </c>
      <c r="C67" s="10" t="str">
        <f t="shared" si="38"/>
        <v>June</v>
      </c>
      <c r="D67" s="10"/>
      <c r="E67" s="11">
        <v>405</v>
      </c>
      <c r="F67" s="12">
        <f t="shared" si="33"/>
        <v>4860</v>
      </c>
      <c r="G67" s="14" t="s">
        <v>31</v>
      </c>
      <c r="H67" s="6">
        <v>0</v>
      </c>
      <c r="I67" s="6">
        <v>57</v>
      </c>
      <c r="J67" s="6">
        <f t="shared" si="39"/>
        <v>3249</v>
      </c>
      <c r="K67" s="6"/>
      <c r="L67" s="6">
        <v>2081</v>
      </c>
      <c r="M67" s="6"/>
      <c r="N67" s="6">
        <v>1168</v>
      </c>
      <c r="O67" s="6"/>
      <c r="P67" s="6">
        <v>1350</v>
      </c>
      <c r="Q67" s="6">
        <v>90</v>
      </c>
      <c r="R67" s="6">
        <v>0</v>
      </c>
      <c r="S67" s="6">
        <v>0</v>
      </c>
      <c r="T67" s="6">
        <v>0</v>
      </c>
      <c r="U67" s="14" t="s">
        <v>32</v>
      </c>
      <c r="V67" s="14"/>
      <c r="W67" s="6">
        <v>12</v>
      </c>
      <c r="X67" s="6">
        <v>9</v>
      </c>
      <c r="Y67" s="15">
        <f t="shared" si="40"/>
        <v>0.125</v>
      </c>
      <c r="Z67" s="16">
        <f t="shared" si="41"/>
        <v>0.75</v>
      </c>
      <c r="AA67" s="16"/>
      <c r="AB67" s="16"/>
      <c r="AC67" s="13">
        <f t="shared" si="42"/>
        <v>10</v>
      </c>
      <c r="AD67" s="13">
        <f t="shared" si="43"/>
        <v>0</v>
      </c>
      <c r="AE67" s="13">
        <f t="shared" si="44"/>
        <v>361</v>
      </c>
      <c r="AF67" s="12"/>
      <c r="AG67" s="12">
        <f t="shared" ref="AG67:AG129" si="53">IF(X67="","",IF(X67=0,"",N67/X67))</f>
        <v>129.77777777777777</v>
      </c>
      <c r="AH67" s="12">
        <f t="shared" si="45"/>
        <v>0</v>
      </c>
      <c r="AI67" s="12">
        <f t="shared" si="46"/>
        <v>0</v>
      </c>
      <c r="AJ67" s="12">
        <f t="shared" si="47"/>
        <v>0.2403292181069959</v>
      </c>
      <c r="AK67" s="12">
        <f t="shared" si="48"/>
        <v>0</v>
      </c>
      <c r="AL67" s="12">
        <f t="shared" si="49"/>
        <v>0.2403292181069959</v>
      </c>
      <c r="AM67" s="13">
        <f t="shared" si="50"/>
        <v>0</v>
      </c>
      <c r="AN67" s="13">
        <f t="shared" si="51"/>
        <v>150</v>
      </c>
      <c r="AO67" s="13">
        <f t="shared" si="34"/>
        <v>0</v>
      </c>
      <c r="AP67" s="13">
        <f t="shared" si="35"/>
        <v>0</v>
      </c>
      <c r="AQ67" s="12">
        <f t="shared" si="52"/>
        <v>4689</v>
      </c>
      <c r="AR67" s="13">
        <f t="shared" si="36"/>
        <v>521</v>
      </c>
      <c r="AS67" s="17" t="s">
        <v>205</v>
      </c>
    </row>
    <row r="68" spans="1:45" x14ac:dyDescent="0.25">
      <c r="A68" s="22">
        <v>45461</v>
      </c>
      <c r="B68" s="10" t="str">
        <f t="shared" si="37"/>
        <v>2024</v>
      </c>
      <c r="C68" s="10" t="str">
        <f t="shared" si="38"/>
        <v>June</v>
      </c>
      <c r="D68" s="10"/>
      <c r="E68" s="11">
        <v>183</v>
      </c>
      <c r="F68" s="12">
        <f t="shared" ref="F68:F99" si="54">E68*12</f>
        <v>2196</v>
      </c>
      <c r="G68" s="14" t="s">
        <v>31</v>
      </c>
      <c r="H68" s="6">
        <v>0</v>
      </c>
      <c r="I68" s="6">
        <v>57</v>
      </c>
      <c r="J68" s="6">
        <f t="shared" si="39"/>
        <v>1460</v>
      </c>
      <c r="K68" s="6"/>
      <c r="L68" s="6">
        <v>923</v>
      </c>
      <c r="M68" s="6"/>
      <c r="N68" s="6">
        <v>537</v>
      </c>
      <c r="O68" s="6"/>
      <c r="P68" s="6">
        <v>690</v>
      </c>
      <c r="Q68" s="6">
        <v>46</v>
      </c>
      <c r="R68" s="6">
        <v>0</v>
      </c>
      <c r="S68" s="6">
        <v>0</v>
      </c>
      <c r="T68" s="6">
        <v>0</v>
      </c>
      <c r="U68" s="14" t="s">
        <v>32</v>
      </c>
      <c r="V68" s="14"/>
      <c r="W68" s="6">
        <v>4.5999999999999996</v>
      </c>
      <c r="X68" s="6">
        <v>4.5999999999999996</v>
      </c>
      <c r="Y68" s="15">
        <f t="shared" si="40"/>
        <v>0.16666666666666666</v>
      </c>
      <c r="Z68" s="16">
        <f t="shared" si="41"/>
        <v>1</v>
      </c>
      <c r="AA68" s="16"/>
      <c r="AB68" s="16"/>
      <c r="AC68" s="13">
        <f t="shared" si="42"/>
        <v>10</v>
      </c>
      <c r="AD68" s="13">
        <f t="shared" si="43"/>
        <v>0</v>
      </c>
      <c r="AE68" s="13">
        <f t="shared" si="44"/>
        <v>317.39130434782612</v>
      </c>
      <c r="AF68" s="12"/>
      <c r="AG68" s="12">
        <f t="shared" si="53"/>
        <v>116.73913043478262</v>
      </c>
      <c r="AH68" s="12">
        <f t="shared" si="45"/>
        <v>0</v>
      </c>
      <c r="AI68" s="12">
        <f t="shared" si="46"/>
        <v>0</v>
      </c>
      <c r="AJ68" s="12">
        <f t="shared" si="47"/>
        <v>0.24453551912568305</v>
      </c>
      <c r="AK68" s="12">
        <f t="shared" si="48"/>
        <v>0</v>
      </c>
      <c r="AL68" s="12">
        <f t="shared" si="49"/>
        <v>0.24453551912568305</v>
      </c>
      <c r="AM68" s="13">
        <f t="shared" si="50"/>
        <v>0</v>
      </c>
      <c r="AN68" s="13">
        <f t="shared" si="51"/>
        <v>150</v>
      </c>
      <c r="AO68" s="13">
        <f t="shared" si="34"/>
        <v>0</v>
      </c>
      <c r="AP68" s="13">
        <f t="shared" si="35"/>
        <v>0</v>
      </c>
      <c r="AQ68" s="12">
        <f t="shared" si="52"/>
        <v>2196</v>
      </c>
      <c r="AR68" s="13">
        <f t="shared" si="36"/>
        <v>477.39130434782612</v>
      </c>
      <c r="AS68" s="17" t="s">
        <v>206</v>
      </c>
    </row>
    <row r="69" spans="1:45" x14ac:dyDescent="0.25">
      <c r="A69" s="22">
        <v>45462</v>
      </c>
      <c r="B69" s="10" t="str">
        <f t="shared" si="37"/>
        <v>2024</v>
      </c>
      <c r="C69" s="10" t="str">
        <f t="shared" si="38"/>
        <v>June</v>
      </c>
      <c r="D69" s="10"/>
      <c r="E69" s="11">
        <v>225</v>
      </c>
      <c r="F69" s="12">
        <f t="shared" si="54"/>
        <v>2700</v>
      </c>
      <c r="G69" s="14" t="s">
        <v>31</v>
      </c>
      <c r="H69" s="6">
        <v>0</v>
      </c>
      <c r="I69" s="6">
        <v>57</v>
      </c>
      <c r="J69" s="6">
        <f t="shared" si="39"/>
        <v>1836</v>
      </c>
      <c r="K69" s="6"/>
      <c r="L69" s="6">
        <v>1298</v>
      </c>
      <c r="M69" s="6"/>
      <c r="N69" s="6">
        <v>538</v>
      </c>
      <c r="O69" s="6"/>
      <c r="P69" s="6">
        <v>630</v>
      </c>
      <c r="Q69" s="6">
        <v>42</v>
      </c>
      <c r="R69" s="6">
        <v>0</v>
      </c>
      <c r="S69" s="6">
        <v>0</v>
      </c>
      <c r="T69" s="6">
        <v>0</v>
      </c>
      <c r="U69" s="14" t="s">
        <v>32</v>
      </c>
      <c r="V69" s="14"/>
      <c r="W69" s="6">
        <v>9.6</v>
      </c>
      <c r="X69" s="6">
        <v>4.2</v>
      </c>
      <c r="Y69" s="15">
        <f t="shared" si="40"/>
        <v>7.2916666666666671E-2</v>
      </c>
      <c r="Z69" s="16">
        <f t="shared" si="41"/>
        <v>0.43750000000000006</v>
      </c>
      <c r="AA69" s="16"/>
      <c r="AB69" s="16"/>
      <c r="AC69" s="13">
        <f t="shared" si="42"/>
        <v>10</v>
      </c>
      <c r="AD69" s="13">
        <f t="shared" si="43"/>
        <v>0</v>
      </c>
      <c r="AE69" s="13">
        <f t="shared" si="44"/>
        <v>437.14285714285711</v>
      </c>
      <c r="AF69" s="12"/>
      <c r="AG69" s="12">
        <f t="shared" si="53"/>
        <v>128.0952380952381</v>
      </c>
      <c r="AH69" s="12">
        <f t="shared" si="45"/>
        <v>0</v>
      </c>
      <c r="AI69" s="12">
        <f t="shared" si="46"/>
        <v>0</v>
      </c>
      <c r="AJ69" s="12">
        <f t="shared" si="47"/>
        <v>0.19925925925925925</v>
      </c>
      <c r="AK69" s="12">
        <f t="shared" si="48"/>
        <v>0</v>
      </c>
      <c r="AL69" s="12">
        <f t="shared" si="49"/>
        <v>0.19925925925925925</v>
      </c>
      <c r="AM69" s="13">
        <f t="shared" si="50"/>
        <v>0</v>
      </c>
      <c r="AN69" s="13">
        <f t="shared" si="51"/>
        <v>150</v>
      </c>
      <c r="AO69" s="13">
        <f t="shared" si="34"/>
        <v>0</v>
      </c>
      <c r="AP69" s="13">
        <f t="shared" si="35"/>
        <v>0</v>
      </c>
      <c r="AQ69" s="12">
        <f t="shared" si="52"/>
        <v>2508</v>
      </c>
      <c r="AR69" s="13">
        <f t="shared" si="36"/>
        <v>597.14285714285711</v>
      </c>
      <c r="AS69" s="17" t="s">
        <v>207</v>
      </c>
    </row>
    <row r="70" spans="1:45" x14ac:dyDescent="0.25">
      <c r="A70" s="22">
        <v>45463</v>
      </c>
      <c r="B70" s="10" t="str">
        <f t="shared" si="37"/>
        <v>2024</v>
      </c>
      <c r="C70" s="10" t="str">
        <f t="shared" si="38"/>
        <v>June</v>
      </c>
      <c r="D70" s="10"/>
      <c r="E70" s="11">
        <v>256</v>
      </c>
      <c r="F70" s="12">
        <f t="shared" si="54"/>
        <v>3072</v>
      </c>
      <c r="G70" s="14" t="s">
        <v>31</v>
      </c>
      <c r="H70" s="6">
        <v>0</v>
      </c>
      <c r="I70" s="6">
        <v>57</v>
      </c>
      <c r="J70" s="6">
        <f t="shared" si="39"/>
        <v>2084</v>
      </c>
      <c r="K70" s="6"/>
      <c r="L70" s="6">
        <v>1403</v>
      </c>
      <c r="M70" s="6"/>
      <c r="N70" s="6">
        <v>681</v>
      </c>
      <c r="O70" s="6"/>
      <c r="P70" s="6">
        <v>693</v>
      </c>
      <c r="Q70" s="6">
        <v>63</v>
      </c>
      <c r="R70" s="6">
        <v>0</v>
      </c>
      <c r="S70" s="6">
        <v>0</v>
      </c>
      <c r="T70" s="6">
        <v>0</v>
      </c>
      <c r="U70" s="14" t="s">
        <v>32</v>
      </c>
      <c r="V70" s="14"/>
      <c r="W70" s="6">
        <v>9.6</v>
      </c>
      <c r="X70" s="6">
        <v>6.3</v>
      </c>
      <c r="Y70" s="15">
        <v>0.77</v>
      </c>
      <c r="Z70" s="16">
        <f t="shared" si="41"/>
        <v>0.65625</v>
      </c>
      <c r="AA70" s="16"/>
      <c r="AB70" s="16"/>
      <c r="AC70" s="13">
        <f t="shared" si="42"/>
        <v>10</v>
      </c>
      <c r="AD70" s="13">
        <f t="shared" si="43"/>
        <v>0</v>
      </c>
      <c r="AE70" s="13">
        <f t="shared" si="44"/>
        <v>330.79365079365078</v>
      </c>
      <c r="AF70" s="12"/>
      <c r="AG70" s="12">
        <f t="shared" si="53"/>
        <v>108.0952380952381</v>
      </c>
      <c r="AH70" s="12">
        <f t="shared" si="45"/>
        <v>0</v>
      </c>
      <c r="AI70" s="12">
        <f t="shared" si="46"/>
        <v>0</v>
      </c>
      <c r="AJ70" s="12">
        <f t="shared" si="47"/>
        <v>0.2216796875</v>
      </c>
      <c r="AK70" s="12">
        <f t="shared" si="48"/>
        <v>0</v>
      </c>
      <c r="AL70" s="12">
        <f t="shared" si="49"/>
        <v>0.2216796875</v>
      </c>
      <c r="AM70" s="13">
        <f t="shared" si="50"/>
        <v>0</v>
      </c>
      <c r="AN70" s="13">
        <f t="shared" si="51"/>
        <v>110</v>
      </c>
      <c r="AO70" s="13">
        <f t="shared" si="34"/>
        <v>0</v>
      </c>
      <c r="AP70" s="13">
        <f t="shared" si="35"/>
        <v>0</v>
      </c>
      <c r="AQ70" s="12">
        <f t="shared" si="52"/>
        <v>2840</v>
      </c>
      <c r="AR70" s="13">
        <f t="shared" si="36"/>
        <v>450.79365079365078</v>
      </c>
      <c r="AS70" s="17" t="s">
        <v>208</v>
      </c>
    </row>
    <row r="71" spans="1:45" x14ac:dyDescent="0.25">
      <c r="A71" s="22">
        <v>45464</v>
      </c>
      <c r="B71" s="10" t="str">
        <f t="shared" si="37"/>
        <v>2024</v>
      </c>
      <c r="C71" s="10" t="str">
        <f t="shared" si="38"/>
        <v>June</v>
      </c>
      <c r="D71" s="10"/>
      <c r="E71" s="11">
        <v>369</v>
      </c>
      <c r="F71" s="12">
        <f t="shared" si="54"/>
        <v>4428</v>
      </c>
      <c r="G71" s="14" t="s">
        <v>31</v>
      </c>
      <c r="H71" s="6">
        <v>0</v>
      </c>
      <c r="I71" s="6">
        <v>57</v>
      </c>
      <c r="J71" s="6">
        <f t="shared" si="39"/>
        <v>2961</v>
      </c>
      <c r="K71" s="6"/>
      <c r="L71" s="6">
        <v>1895</v>
      </c>
      <c r="M71" s="6"/>
      <c r="N71" s="6">
        <v>1066</v>
      </c>
      <c r="O71" s="6"/>
      <c r="P71" s="6">
        <v>1305</v>
      </c>
      <c r="Q71" s="6">
        <v>80</v>
      </c>
      <c r="R71" s="6">
        <v>0</v>
      </c>
      <c r="S71" s="6">
        <v>0</v>
      </c>
      <c r="T71" s="6">
        <v>0</v>
      </c>
      <c r="U71" s="14" t="s">
        <v>32</v>
      </c>
      <c r="V71" s="14"/>
      <c r="W71" s="6">
        <v>12</v>
      </c>
      <c r="X71" s="6">
        <v>8.6999999999999993</v>
      </c>
      <c r="Y71" s="15">
        <f t="shared" ref="Y71:Y102" si="55">SUM(X71)/(W71*X$2)</f>
        <v>0.12083333333333332</v>
      </c>
      <c r="Z71" s="16">
        <f t="shared" si="41"/>
        <v>0.72499999999999998</v>
      </c>
      <c r="AA71" s="16"/>
      <c r="AB71" s="16"/>
      <c r="AC71" s="13">
        <f t="shared" si="42"/>
        <v>9.1954022988505759</v>
      </c>
      <c r="AD71" s="13">
        <f t="shared" si="43"/>
        <v>0</v>
      </c>
      <c r="AE71" s="13">
        <f t="shared" si="44"/>
        <v>340.34482758620692</v>
      </c>
      <c r="AF71" s="12"/>
      <c r="AG71" s="12">
        <f t="shared" si="53"/>
        <v>122.52873563218392</v>
      </c>
      <c r="AH71" s="12">
        <f t="shared" si="45"/>
        <v>0</v>
      </c>
      <c r="AI71" s="12">
        <f t="shared" si="46"/>
        <v>0</v>
      </c>
      <c r="AJ71" s="12">
        <f t="shared" si="47"/>
        <v>0.24074074074074073</v>
      </c>
      <c r="AK71" s="12">
        <f t="shared" si="48"/>
        <v>0</v>
      </c>
      <c r="AL71" s="12">
        <f t="shared" si="49"/>
        <v>0.24074074074074073</v>
      </c>
      <c r="AM71" s="13">
        <f t="shared" si="50"/>
        <v>0</v>
      </c>
      <c r="AN71" s="13">
        <f t="shared" si="51"/>
        <v>150</v>
      </c>
      <c r="AO71" s="13">
        <f t="shared" si="34"/>
        <v>0</v>
      </c>
      <c r="AP71" s="13">
        <f t="shared" si="35"/>
        <v>0</v>
      </c>
      <c r="AQ71" s="12">
        <f t="shared" si="52"/>
        <v>4346</v>
      </c>
      <c r="AR71" s="13">
        <f t="shared" si="36"/>
        <v>499.5402298850575</v>
      </c>
      <c r="AS71" s="17" t="s">
        <v>209</v>
      </c>
    </row>
    <row r="72" spans="1:45" x14ac:dyDescent="0.25">
      <c r="A72" s="22">
        <v>45465</v>
      </c>
      <c r="B72" s="10" t="str">
        <f t="shared" si="37"/>
        <v>2024</v>
      </c>
      <c r="C72" s="10" t="str">
        <f t="shared" si="38"/>
        <v>June</v>
      </c>
      <c r="D72" s="10"/>
      <c r="E72" s="11">
        <v>362</v>
      </c>
      <c r="F72" s="12">
        <f t="shared" si="54"/>
        <v>4344</v>
      </c>
      <c r="G72" s="14" t="s">
        <v>31</v>
      </c>
      <c r="H72" s="6">
        <v>0</v>
      </c>
      <c r="I72" s="6">
        <v>57</v>
      </c>
      <c r="J72" s="6">
        <f t="shared" si="39"/>
        <v>2890</v>
      </c>
      <c r="K72" s="6"/>
      <c r="L72" s="6">
        <v>1880</v>
      </c>
      <c r="M72" s="6"/>
      <c r="N72" s="6">
        <v>1010</v>
      </c>
      <c r="O72" s="6"/>
      <c r="P72" s="6">
        <v>1350</v>
      </c>
      <c r="Q72" s="6">
        <v>90</v>
      </c>
      <c r="R72" s="6">
        <v>0</v>
      </c>
      <c r="S72" s="6">
        <v>0</v>
      </c>
      <c r="T72" s="6">
        <v>0</v>
      </c>
      <c r="U72" s="14" t="s">
        <v>32</v>
      </c>
      <c r="V72" s="14"/>
      <c r="W72" s="6">
        <v>9.75</v>
      </c>
      <c r="X72" s="6">
        <v>9</v>
      </c>
      <c r="Y72" s="15">
        <f t="shared" si="55"/>
        <v>0.15384615384615385</v>
      </c>
      <c r="Z72" s="16">
        <f t="shared" si="41"/>
        <v>0.92307692307692313</v>
      </c>
      <c r="AA72" s="16"/>
      <c r="AB72" s="16"/>
      <c r="AC72" s="13">
        <f t="shared" si="42"/>
        <v>10</v>
      </c>
      <c r="AD72" s="13">
        <f t="shared" si="43"/>
        <v>0</v>
      </c>
      <c r="AE72" s="13">
        <f t="shared" si="44"/>
        <v>321.11111111111109</v>
      </c>
      <c r="AF72" s="12"/>
      <c r="AG72" s="12">
        <f t="shared" si="53"/>
        <v>112.22222222222223</v>
      </c>
      <c r="AH72" s="12">
        <f t="shared" si="45"/>
        <v>0</v>
      </c>
      <c r="AI72" s="12">
        <f t="shared" si="46"/>
        <v>0</v>
      </c>
      <c r="AJ72" s="12">
        <f t="shared" si="47"/>
        <v>0.23250460405156537</v>
      </c>
      <c r="AK72" s="12">
        <f t="shared" si="48"/>
        <v>0</v>
      </c>
      <c r="AL72" s="12">
        <f t="shared" si="49"/>
        <v>0.23250460405156537</v>
      </c>
      <c r="AM72" s="13">
        <f t="shared" si="50"/>
        <v>0</v>
      </c>
      <c r="AN72" s="13">
        <f t="shared" si="51"/>
        <v>150</v>
      </c>
      <c r="AO72" s="13">
        <f t="shared" si="34"/>
        <v>0</v>
      </c>
      <c r="AP72" s="13">
        <f t="shared" si="35"/>
        <v>0</v>
      </c>
      <c r="AQ72" s="12">
        <f t="shared" si="52"/>
        <v>4330</v>
      </c>
      <c r="AR72" s="13">
        <f t="shared" si="36"/>
        <v>481.11111111111109</v>
      </c>
      <c r="AS72" s="17" t="s">
        <v>210</v>
      </c>
    </row>
    <row r="73" spans="1:45" x14ac:dyDescent="0.25">
      <c r="A73" s="22">
        <v>45467</v>
      </c>
      <c r="B73" s="10" t="str">
        <f t="shared" si="37"/>
        <v>2024</v>
      </c>
      <c r="C73" s="10" t="str">
        <f t="shared" si="38"/>
        <v>June</v>
      </c>
      <c r="D73" s="10"/>
      <c r="E73" s="11">
        <v>236</v>
      </c>
      <c r="F73" s="12">
        <f t="shared" si="54"/>
        <v>2832</v>
      </c>
      <c r="G73" s="14" t="s">
        <v>31</v>
      </c>
      <c r="H73" s="6">
        <v>0</v>
      </c>
      <c r="I73" s="6">
        <v>57</v>
      </c>
      <c r="J73" s="6">
        <f t="shared" si="39"/>
        <v>1835</v>
      </c>
      <c r="K73" s="6"/>
      <c r="L73" s="6">
        <v>1210</v>
      </c>
      <c r="M73" s="6"/>
      <c r="N73" s="6">
        <v>625</v>
      </c>
      <c r="O73" s="6"/>
      <c r="P73" s="6">
        <v>945</v>
      </c>
      <c r="Q73" s="6">
        <v>60</v>
      </c>
      <c r="R73" s="6">
        <v>0</v>
      </c>
      <c r="S73" s="6">
        <v>0</v>
      </c>
      <c r="T73" s="6">
        <v>0</v>
      </c>
      <c r="U73" s="14" t="s">
        <v>91</v>
      </c>
      <c r="V73" s="14"/>
      <c r="W73" s="6">
        <v>8</v>
      </c>
      <c r="X73" s="6">
        <v>6.3</v>
      </c>
      <c r="Y73" s="15">
        <f t="shared" si="55"/>
        <v>0.13125000000000001</v>
      </c>
      <c r="Z73" s="16">
        <f t="shared" si="41"/>
        <v>0.78749999999999998</v>
      </c>
      <c r="AA73" s="16"/>
      <c r="AB73" s="16"/>
      <c r="AC73" s="13">
        <f t="shared" si="42"/>
        <v>9.5238095238095237</v>
      </c>
      <c r="AD73" s="13">
        <f t="shared" si="43"/>
        <v>0</v>
      </c>
      <c r="AE73" s="13">
        <f t="shared" si="44"/>
        <v>291.26984126984127</v>
      </c>
      <c r="AF73" s="12"/>
      <c r="AG73" s="12">
        <f t="shared" si="53"/>
        <v>99.206349206349202</v>
      </c>
      <c r="AH73" s="12">
        <f t="shared" si="45"/>
        <v>0</v>
      </c>
      <c r="AI73" s="12">
        <f t="shared" si="46"/>
        <v>0</v>
      </c>
      <c r="AJ73" s="12">
        <f t="shared" si="47"/>
        <v>0.22069209039548024</v>
      </c>
      <c r="AK73" s="12">
        <f t="shared" si="48"/>
        <v>0</v>
      </c>
      <c r="AL73" s="12">
        <f t="shared" si="49"/>
        <v>0.22069209039548024</v>
      </c>
      <c r="AM73" s="13">
        <f t="shared" si="50"/>
        <v>0</v>
      </c>
      <c r="AN73" s="13">
        <f t="shared" si="51"/>
        <v>150</v>
      </c>
      <c r="AO73" s="13">
        <f t="shared" si="34"/>
        <v>0</v>
      </c>
      <c r="AP73" s="13">
        <f t="shared" si="35"/>
        <v>0</v>
      </c>
      <c r="AQ73" s="12">
        <f t="shared" si="52"/>
        <v>2840</v>
      </c>
      <c r="AR73" s="13">
        <f t="shared" si="36"/>
        <v>450.79365079365078</v>
      </c>
      <c r="AS73" s="17" t="s">
        <v>211</v>
      </c>
    </row>
    <row r="74" spans="1:45" x14ac:dyDescent="0.25">
      <c r="A74" s="22">
        <v>45468</v>
      </c>
      <c r="B74" s="10" t="str">
        <f t="shared" si="37"/>
        <v>2024</v>
      </c>
      <c r="C74" s="10" t="str">
        <f t="shared" si="38"/>
        <v>June</v>
      </c>
      <c r="D74" s="10"/>
      <c r="E74" s="11">
        <v>116</v>
      </c>
      <c r="F74" s="12">
        <f t="shared" si="54"/>
        <v>1392</v>
      </c>
      <c r="G74" s="14" t="s">
        <v>31</v>
      </c>
      <c r="H74" s="6">
        <v>0</v>
      </c>
      <c r="I74" s="6">
        <v>57</v>
      </c>
      <c r="J74" s="6">
        <f t="shared" si="39"/>
        <v>903</v>
      </c>
      <c r="K74" s="6"/>
      <c r="L74" s="6">
        <v>578</v>
      </c>
      <c r="M74" s="6"/>
      <c r="N74" s="6">
        <v>325</v>
      </c>
      <c r="O74" s="6"/>
      <c r="P74" s="6">
        <v>345</v>
      </c>
      <c r="Q74" s="6">
        <v>20</v>
      </c>
      <c r="R74" s="6">
        <v>0</v>
      </c>
      <c r="S74" s="6">
        <v>0</v>
      </c>
      <c r="T74" s="6">
        <v>0</v>
      </c>
      <c r="U74" s="14" t="s">
        <v>212</v>
      </c>
      <c r="V74" s="14"/>
      <c r="W74" s="6">
        <v>3</v>
      </c>
      <c r="X74" s="6">
        <v>2.2999999999999998</v>
      </c>
      <c r="Y74" s="15">
        <f t="shared" si="55"/>
        <v>0.12777777777777777</v>
      </c>
      <c r="Z74" s="16">
        <f t="shared" si="41"/>
        <v>0.76666666666666661</v>
      </c>
      <c r="AA74" s="16"/>
      <c r="AB74" s="16"/>
      <c r="AC74" s="13">
        <f t="shared" si="42"/>
        <v>8.6956521739130448</v>
      </c>
      <c r="AD74" s="13">
        <f t="shared" si="43"/>
        <v>0</v>
      </c>
      <c r="AE74" s="13">
        <f t="shared" si="44"/>
        <v>392.60869565217394</v>
      </c>
      <c r="AF74" s="12"/>
      <c r="AG74" s="12">
        <f t="shared" si="53"/>
        <v>141.30434782608697</v>
      </c>
      <c r="AH74" s="12">
        <f t="shared" si="45"/>
        <v>0</v>
      </c>
      <c r="AI74" s="12">
        <f t="shared" si="46"/>
        <v>0</v>
      </c>
      <c r="AJ74" s="12">
        <f t="shared" si="47"/>
        <v>0.23347701149425287</v>
      </c>
      <c r="AK74" s="12">
        <f t="shared" si="48"/>
        <v>0</v>
      </c>
      <c r="AL74" s="12">
        <f t="shared" si="49"/>
        <v>0.23347701149425287</v>
      </c>
      <c r="AM74" s="13">
        <f t="shared" si="50"/>
        <v>0</v>
      </c>
      <c r="AN74" s="13">
        <f t="shared" si="51"/>
        <v>150</v>
      </c>
      <c r="AO74" s="13">
        <f t="shared" si="34"/>
        <v>0</v>
      </c>
      <c r="AP74" s="13">
        <f t="shared" si="35"/>
        <v>0</v>
      </c>
      <c r="AQ74" s="12">
        <f t="shared" si="52"/>
        <v>1268</v>
      </c>
      <c r="AR74" s="13">
        <f t="shared" si="36"/>
        <v>551.304347826087</v>
      </c>
      <c r="AS74" s="17" t="s">
        <v>213</v>
      </c>
    </row>
    <row r="75" spans="1:45" x14ac:dyDescent="0.25">
      <c r="A75" s="22">
        <v>45469</v>
      </c>
      <c r="B75" s="10" t="str">
        <f t="shared" si="37"/>
        <v>2024</v>
      </c>
      <c r="C75" s="10" t="str">
        <f t="shared" si="38"/>
        <v>June</v>
      </c>
      <c r="D75" s="10"/>
      <c r="E75" s="11">
        <v>228</v>
      </c>
      <c r="F75" s="12">
        <f t="shared" si="54"/>
        <v>2736</v>
      </c>
      <c r="G75" s="14" t="s">
        <v>31</v>
      </c>
      <c r="H75" s="6">
        <v>0</v>
      </c>
      <c r="I75" s="6">
        <v>57</v>
      </c>
      <c r="J75" s="6">
        <f t="shared" si="39"/>
        <v>1796</v>
      </c>
      <c r="K75" s="6"/>
      <c r="L75" s="6">
        <v>1176</v>
      </c>
      <c r="M75" s="6"/>
      <c r="N75" s="6">
        <v>620</v>
      </c>
      <c r="O75" s="6"/>
      <c r="P75" s="6">
        <v>855</v>
      </c>
      <c r="Q75" s="6">
        <v>60</v>
      </c>
      <c r="R75" s="6">
        <v>0</v>
      </c>
      <c r="S75" s="6">
        <v>0</v>
      </c>
      <c r="T75" s="6">
        <v>0</v>
      </c>
      <c r="U75" s="14" t="s">
        <v>214</v>
      </c>
      <c r="V75" s="14"/>
      <c r="W75" s="6">
        <v>8</v>
      </c>
      <c r="X75" s="6">
        <v>5.7</v>
      </c>
      <c r="Y75" s="15">
        <f t="shared" si="55"/>
        <v>0.11875000000000001</v>
      </c>
      <c r="Z75" s="16">
        <f t="shared" si="41"/>
        <v>0.71250000000000002</v>
      </c>
      <c r="AA75" s="16"/>
      <c r="AB75" s="16"/>
      <c r="AC75" s="13">
        <f t="shared" si="42"/>
        <v>10.526315789473683</v>
      </c>
      <c r="AD75" s="13">
        <f t="shared" si="43"/>
        <v>0</v>
      </c>
      <c r="AE75" s="13">
        <f t="shared" si="44"/>
        <v>315.08771929824559</v>
      </c>
      <c r="AF75" s="12"/>
      <c r="AG75" s="12">
        <f t="shared" si="53"/>
        <v>108.7719298245614</v>
      </c>
      <c r="AH75" s="12">
        <f t="shared" si="45"/>
        <v>0</v>
      </c>
      <c r="AI75" s="12">
        <f t="shared" si="46"/>
        <v>0</v>
      </c>
      <c r="AJ75" s="12">
        <f t="shared" si="47"/>
        <v>0.22660818713450293</v>
      </c>
      <c r="AK75" s="12">
        <f t="shared" si="48"/>
        <v>0</v>
      </c>
      <c r="AL75" s="12">
        <f t="shared" si="49"/>
        <v>0.22660818713450293</v>
      </c>
      <c r="AM75" s="13">
        <f t="shared" si="50"/>
        <v>0</v>
      </c>
      <c r="AN75" s="13">
        <f t="shared" si="51"/>
        <v>150</v>
      </c>
      <c r="AO75" s="13">
        <f t="shared" si="34"/>
        <v>0</v>
      </c>
      <c r="AP75" s="13">
        <f t="shared" si="35"/>
        <v>0</v>
      </c>
      <c r="AQ75" s="12">
        <f t="shared" si="52"/>
        <v>2711</v>
      </c>
      <c r="AR75" s="13">
        <f t="shared" si="36"/>
        <v>475.61403508771929</v>
      </c>
      <c r="AS75" s="17" t="s">
        <v>215</v>
      </c>
    </row>
    <row r="76" spans="1:45" x14ac:dyDescent="0.25">
      <c r="A76" s="22">
        <v>45470</v>
      </c>
      <c r="B76" s="10" t="str">
        <f t="shared" si="37"/>
        <v>2024</v>
      </c>
      <c r="C76" s="10" t="str">
        <f t="shared" si="38"/>
        <v>June</v>
      </c>
      <c r="D76" s="10"/>
      <c r="E76" s="11">
        <v>219</v>
      </c>
      <c r="F76" s="12">
        <f t="shared" si="54"/>
        <v>2628</v>
      </c>
      <c r="G76" s="14" t="s">
        <v>31</v>
      </c>
      <c r="H76" s="6">
        <v>0</v>
      </c>
      <c r="I76" s="6">
        <v>57</v>
      </c>
      <c r="J76" s="6">
        <f t="shared" si="39"/>
        <v>2149</v>
      </c>
      <c r="K76" s="6"/>
      <c r="L76" s="6">
        <v>1566</v>
      </c>
      <c r="M76" s="6"/>
      <c r="N76" s="6">
        <v>583</v>
      </c>
      <c r="O76" s="6"/>
      <c r="P76" s="6">
        <v>840</v>
      </c>
      <c r="Q76" s="6">
        <v>60</v>
      </c>
      <c r="R76" s="6">
        <v>0</v>
      </c>
      <c r="S76" s="6">
        <v>0</v>
      </c>
      <c r="T76" s="6">
        <v>0</v>
      </c>
      <c r="U76" s="14" t="s">
        <v>216</v>
      </c>
      <c r="V76" s="14"/>
      <c r="W76" s="6">
        <v>8</v>
      </c>
      <c r="X76" s="6">
        <v>5.6</v>
      </c>
      <c r="Y76" s="15">
        <f t="shared" si="55"/>
        <v>0.11666666666666665</v>
      </c>
      <c r="Z76" s="16">
        <f t="shared" si="41"/>
        <v>0.7</v>
      </c>
      <c r="AA76" s="16"/>
      <c r="AB76" s="16"/>
      <c r="AC76" s="13">
        <f t="shared" si="42"/>
        <v>10.714285714285715</v>
      </c>
      <c r="AD76" s="13">
        <f t="shared" si="43"/>
        <v>0</v>
      </c>
      <c r="AE76" s="13">
        <f t="shared" si="44"/>
        <v>383.75</v>
      </c>
      <c r="AF76" s="12"/>
      <c r="AG76" s="12">
        <f t="shared" si="53"/>
        <v>104.10714285714286</v>
      </c>
      <c r="AH76" s="12">
        <f t="shared" si="45"/>
        <v>0</v>
      </c>
      <c r="AI76" s="12">
        <f t="shared" si="46"/>
        <v>0</v>
      </c>
      <c r="AJ76" s="12">
        <f t="shared" si="47"/>
        <v>0.22184170471841705</v>
      </c>
      <c r="AK76" s="12">
        <f t="shared" si="48"/>
        <v>0</v>
      </c>
      <c r="AL76" s="12">
        <f t="shared" si="49"/>
        <v>0.22184170471841705</v>
      </c>
      <c r="AM76" s="13">
        <f t="shared" si="50"/>
        <v>0</v>
      </c>
      <c r="AN76" s="13">
        <f t="shared" si="51"/>
        <v>150</v>
      </c>
      <c r="AO76" s="13">
        <f t="shared" si="34"/>
        <v>0</v>
      </c>
      <c r="AP76" s="13">
        <f t="shared" si="35"/>
        <v>0</v>
      </c>
      <c r="AQ76" s="12">
        <f t="shared" si="52"/>
        <v>3049</v>
      </c>
      <c r="AR76" s="13">
        <f t="shared" si="36"/>
        <v>544.46428571428567</v>
      </c>
      <c r="AS76" s="17" t="s">
        <v>217</v>
      </c>
    </row>
    <row r="77" spans="1:45" x14ac:dyDescent="0.25">
      <c r="A77" s="22">
        <v>45472</v>
      </c>
      <c r="B77" s="10" t="str">
        <f t="shared" si="37"/>
        <v>2024</v>
      </c>
      <c r="C77" s="10" t="str">
        <f t="shared" si="38"/>
        <v>June</v>
      </c>
      <c r="D77" s="10"/>
      <c r="E77" s="11">
        <v>375</v>
      </c>
      <c r="F77" s="12">
        <f t="shared" si="54"/>
        <v>4500</v>
      </c>
      <c r="G77" s="14" t="s">
        <v>31</v>
      </c>
      <c r="H77" s="6">
        <v>0</v>
      </c>
      <c r="I77" s="6">
        <v>57</v>
      </c>
      <c r="J77" s="6">
        <f t="shared" si="39"/>
        <v>2703</v>
      </c>
      <c r="K77" s="6"/>
      <c r="L77" s="6">
        <v>1751</v>
      </c>
      <c r="M77" s="6"/>
      <c r="N77" s="6">
        <v>952</v>
      </c>
      <c r="O77" s="6"/>
      <c r="P77" s="6">
        <v>1320</v>
      </c>
      <c r="Q77" s="6">
        <v>88</v>
      </c>
      <c r="R77" s="6">
        <v>0</v>
      </c>
      <c r="S77" s="6">
        <v>0</v>
      </c>
      <c r="T77" s="6">
        <v>0</v>
      </c>
      <c r="U77" s="14" t="s">
        <v>218</v>
      </c>
      <c r="V77" s="14"/>
      <c r="W77" s="6">
        <v>10</v>
      </c>
      <c r="X77" s="6">
        <v>8.8000000000000007</v>
      </c>
      <c r="Y77" s="15">
        <f t="shared" si="55"/>
        <v>0.14666666666666667</v>
      </c>
      <c r="Z77" s="16">
        <f t="shared" si="41"/>
        <v>0.88000000000000012</v>
      </c>
      <c r="AA77" s="16"/>
      <c r="AB77" s="16"/>
      <c r="AC77" s="13">
        <f t="shared" si="42"/>
        <v>10</v>
      </c>
      <c r="AD77" s="13">
        <f t="shared" si="43"/>
        <v>0</v>
      </c>
      <c r="AE77" s="13">
        <f t="shared" si="44"/>
        <v>307.15909090909088</v>
      </c>
      <c r="AF77" s="12"/>
      <c r="AG77" s="12">
        <f t="shared" si="53"/>
        <v>108.18181818181817</v>
      </c>
      <c r="AH77" s="12">
        <f t="shared" si="45"/>
        <v>0</v>
      </c>
      <c r="AI77" s="12">
        <f t="shared" si="46"/>
        <v>0</v>
      </c>
      <c r="AJ77" s="12">
        <f t="shared" si="47"/>
        <v>0.21155555555555555</v>
      </c>
      <c r="AK77" s="12">
        <f t="shared" si="48"/>
        <v>0</v>
      </c>
      <c r="AL77" s="12">
        <f t="shared" si="49"/>
        <v>0.21155555555555555</v>
      </c>
      <c r="AM77" s="13">
        <f t="shared" si="50"/>
        <v>0</v>
      </c>
      <c r="AN77" s="13">
        <f t="shared" si="51"/>
        <v>150</v>
      </c>
      <c r="AO77" s="13">
        <f t="shared" si="34"/>
        <v>0</v>
      </c>
      <c r="AP77" s="13">
        <f t="shared" si="35"/>
        <v>0</v>
      </c>
      <c r="AQ77" s="12">
        <f t="shared" si="52"/>
        <v>4111</v>
      </c>
      <c r="AR77" s="13">
        <f t="shared" si="36"/>
        <v>467.15909090909088</v>
      </c>
      <c r="AS77" s="17" t="s">
        <v>219</v>
      </c>
    </row>
    <row r="78" spans="1:45" x14ac:dyDescent="0.25">
      <c r="A78" s="22">
        <v>45473</v>
      </c>
      <c r="B78" s="10" t="str">
        <f t="shared" si="37"/>
        <v>2024</v>
      </c>
      <c r="C78" s="10" t="str">
        <f t="shared" si="38"/>
        <v>June</v>
      </c>
      <c r="D78" s="10"/>
      <c r="E78" s="11">
        <v>182</v>
      </c>
      <c r="F78" s="12">
        <f t="shared" si="54"/>
        <v>2184</v>
      </c>
      <c r="G78" s="14" t="s">
        <v>31</v>
      </c>
      <c r="H78" s="6">
        <v>0</v>
      </c>
      <c r="I78" s="6">
        <v>57</v>
      </c>
      <c r="J78" s="6">
        <f t="shared" si="39"/>
        <v>1377</v>
      </c>
      <c r="K78" s="6"/>
      <c r="L78" s="6">
        <v>938</v>
      </c>
      <c r="M78" s="6"/>
      <c r="N78" s="6">
        <v>439</v>
      </c>
      <c r="O78" s="6"/>
      <c r="P78" s="6">
        <v>795</v>
      </c>
      <c r="Q78" s="6">
        <v>53</v>
      </c>
      <c r="R78" s="6">
        <v>0</v>
      </c>
      <c r="S78" s="6">
        <v>0</v>
      </c>
      <c r="T78" s="6">
        <v>0</v>
      </c>
      <c r="U78" s="14" t="s">
        <v>220</v>
      </c>
      <c r="V78" s="14"/>
      <c r="W78" s="6">
        <v>10</v>
      </c>
      <c r="X78" s="6">
        <v>5.3</v>
      </c>
      <c r="Y78" s="15">
        <f t="shared" si="55"/>
        <v>8.8333333333333333E-2</v>
      </c>
      <c r="Z78" s="16">
        <f t="shared" si="41"/>
        <v>0.53</v>
      </c>
      <c r="AA78" s="16"/>
      <c r="AB78" s="16"/>
      <c r="AC78" s="13">
        <f t="shared" si="42"/>
        <v>10</v>
      </c>
      <c r="AD78" s="13">
        <f t="shared" si="43"/>
        <v>0</v>
      </c>
      <c r="AE78" s="13">
        <f t="shared" si="44"/>
        <v>259.81132075471697</v>
      </c>
      <c r="AF78" s="12"/>
      <c r="AG78" s="12">
        <f t="shared" si="53"/>
        <v>82.830188679245282</v>
      </c>
      <c r="AH78" s="12">
        <f t="shared" si="45"/>
        <v>0</v>
      </c>
      <c r="AI78" s="12">
        <f t="shared" si="46"/>
        <v>0</v>
      </c>
      <c r="AJ78" s="12">
        <f t="shared" si="47"/>
        <v>0.20100732600732601</v>
      </c>
      <c r="AK78" s="12">
        <f t="shared" si="48"/>
        <v>0</v>
      </c>
      <c r="AL78" s="12">
        <f t="shared" si="49"/>
        <v>0.20100732600732601</v>
      </c>
      <c r="AM78" s="13">
        <f t="shared" si="50"/>
        <v>0</v>
      </c>
      <c r="AN78" s="13">
        <f t="shared" si="51"/>
        <v>150</v>
      </c>
      <c r="AO78" s="13">
        <f t="shared" si="34"/>
        <v>0</v>
      </c>
      <c r="AP78" s="13">
        <f t="shared" si="35"/>
        <v>0</v>
      </c>
      <c r="AQ78" s="12">
        <f t="shared" si="52"/>
        <v>2225</v>
      </c>
      <c r="AR78" s="13">
        <f t="shared" si="36"/>
        <v>419.81132075471697</v>
      </c>
      <c r="AS78" s="17" t="s">
        <v>221</v>
      </c>
    </row>
    <row r="79" spans="1:45" x14ac:dyDescent="0.25">
      <c r="A79" s="22">
        <v>45474</v>
      </c>
      <c r="B79" s="10" t="str">
        <f t="shared" si="37"/>
        <v>2024</v>
      </c>
      <c r="C79" s="10" t="str">
        <f t="shared" si="38"/>
        <v>July</v>
      </c>
      <c r="D79" s="10"/>
      <c r="E79" s="11">
        <v>21</v>
      </c>
      <c r="F79" s="12">
        <f t="shared" si="54"/>
        <v>252</v>
      </c>
      <c r="G79" s="14" t="s">
        <v>31</v>
      </c>
      <c r="H79" s="6">
        <v>0</v>
      </c>
      <c r="I79" s="6">
        <v>57</v>
      </c>
      <c r="J79" s="6">
        <f t="shared" si="39"/>
        <v>169</v>
      </c>
      <c r="K79" s="6"/>
      <c r="L79" s="6">
        <v>108</v>
      </c>
      <c r="M79" s="6"/>
      <c r="N79" s="6">
        <v>61</v>
      </c>
      <c r="O79" s="6"/>
      <c r="P79" s="6">
        <v>75</v>
      </c>
      <c r="Q79" s="6">
        <v>5</v>
      </c>
      <c r="R79" s="6">
        <v>0</v>
      </c>
      <c r="S79" s="6">
        <v>0</v>
      </c>
      <c r="T79" s="6">
        <v>0</v>
      </c>
      <c r="U79" s="14" t="s">
        <v>32</v>
      </c>
      <c r="V79" s="14"/>
      <c r="W79" s="6">
        <v>10</v>
      </c>
      <c r="X79" s="6">
        <v>0.5</v>
      </c>
      <c r="Y79" s="15">
        <f t="shared" si="55"/>
        <v>8.3333333333333332E-3</v>
      </c>
      <c r="Z79" s="16">
        <f t="shared" si="41"/>
        <v>0.05</v>
      </c>
      <c r="AA79" s="16"/>
      <c r="AB79" s="16"/>
      <c r="AC79" s="13">
        <f t="shared" si="42"/>
        <v>10</v>
      </c>
      <c r="AD79" s="13">
        <f t="shared" si="43"/>
        <v>0</v>
      </c>
      <c r="AE79" s="13">
        <f t="shared" si="44"/>
        <v>338</v>
      </c>
      <c r="AF79" s="12"/>
      <c r="AG79" s="12">
        <f t="shared" si="53"/>
        <v>122</v>
      </c>
      <c r="AH79" s="12">
        <f t="shared" si="45"/>
        <v>0</v>
      </c>
      <c r="AI79" s="12">
        <f t="shared" si="46"/>
        <v>0</v>
      </c>
      <c r="AJ79" s="12">
        <f t="shared" si="47"/>
        <v>0.24206349206349206</v>
      </c>
      <c r="AK79" s="12">
        <f t="shared" si="48"/>
        <v>0</v>
      </c>
      <c r="AL79" s="12">
        <f t="shared" si="49"/>
        <v>0.24206349206349206</v>
      </c>
      <c r="AM79" s="13">
        <f t="shared" si="50"/>
        <v>0</v>
      </c>
      <c r="AN79" s="13">
        <f t="shared" si="51"/>
        <v>150</v>
      </c>
      <c r="AO79" s="13">
        <f t="shared" si="34"/>
        <v>0</v>
      </c>
      <c r="AP79" s="13">
        <f t="shared" si="35"/>
        <v>0</v>
      </c>
      <c r="AQ79" s="12">
        <f t="shared" si="52"/>
        <v>249</v>
      </c>
      <c r="AR79" s="13">
        <f t="shared" si="36"/>
        <v>498</v>
      </c>
      <c r="AS79" s="17" t="s">
        <v>222</v>
      </c>
    </row>
    <row r="80" spans="1:45" x14ac:dyDescent="0.25">
      <c r="A80" s="22">
        <v>45476</v>
      </c>
      <c r="B80" s="10" t="str">
        <f t="shared" si="37"/>
        <v>2024</v>
      </c>
      <c r="C80" s="10" t="str">
        <f t="shared" si="38"/>
        <v>July</v>
      </c>
      <c r="D80" s="10"/>
      <c r="E80" s="11">
        <v>331</v>
      </c>
      <c r="F80" s="12">
        <f t="shared" si="54"/>
        <v>3972</v>
      </c>
      <c r="G80" s="14" t="s">
        <v>31</v>
      </c>
      <c r="H80" s="6">
        <v>0</v>
      </c>
      <c r="I80" s="6">
        <v>57</v>
      </c>
      <c r="J80" s="6">
        <f t="shared" si="39"/>
        <v>2647</v>
      </c>
      <c r="K80" s="6"/>
      <c r="L80" s="6">
        <v>1654</v>
      </c>
      <c r="M80" s="6"/>
      <c r="N80" s="6">
        <v>993</v>
      </c>
      <c r="O80" s="6"/>
      <c r="P80" s="6">
        <v>1095</v>
      </c>
      <c r="Q80" s="6">
        <v>80</v>
      </c>
      <c r="R80" s="6">
        <v>0</v>
      </c>
      <c r="S80" s="6">
        <v>0</v>
      </c>
      <c r="T80" s="6">
        <v>0</v>
      </c>
      <c r="U80" s="14" t="s">
        <v>32</v>
      </c>
      <c r="V80" s="14"/>
      <c r="W80" s="6">
        <v>12</v>
      </c>
      <c r="X80" s="6">
        <v>7.9</v>
      </c>
      <c r="Y80" s="15">
        <f t="shared" si="55"/>
        <v>0.10972222222222222</v>
      </c>
      <c r="Z80" s="16">
        <f t="shared" si="41"/>
        <v>0.65833333333333333</v>
      </c>
      <c r="AA80" s="16"/>
      <c r="AB80" s="16"/>
      <c r="AC80" s="13">
        <f t="shared" si="42"/>
        <v>10.126582278481012</v>
      </c>
      <c r="AD80" s="13">
        <f t="shared" si="43"/>
        <v>0</v>
      </c>
      <c r="AE80" s="13">
        <f t="shared" si="44"/>
        <v>335.0632911392405</v>
      </c>
      <c r="AF80" s="12"/>
      <c r="AG80" s="12">
        <f t="shared" si="53"/>
        <v>125.69620253164557</v>
      </c>
      <c r="AH80" s="12">
        <f t="shared" si="45"/>
        <v>0</v>
      </c>
      <c r="AI80" s="12">
        <f t="shared" si="46"/>
        <v>0</v>
      </c>
      <c r="AJ80" s="12">
        <f t="shared" si="47"/>
        <v>0.25</v>
      </c>
      <c r="AK80" s="12">
        <f t="shared" si="48"/>
        <v>0</v>
      </c>
      <c r="AL80" s="12">
        <f t="shared" si="49"/>
        <v>0.25</v>
      </c>
      <c r="AM80" s="13">
        <f t="shared" si="50"/>
        <v>0</v>
      </c>
      <c r="AN80" s="13">
        <f t="shared" si="51"/>
        <v>138.60759493670886</v>
      </c>
      <c r="AO80" s="13">
        <f t="shared" si="34"/>
        <v>0</v>
      </c>
      <c r="AP80" s="13">
        <f t="shared" si="35"/>
        <v>0</v>
      </c>
      <c r="AQ80" s="12">
        <f t="shared" si="52"/>
        <v>3822</v>
      </c>
      <c r="AR80" s="13">
        <f t="shared" si="36"/>
        <v>483.79746835443041</v>
      </c>
      <c r="AS80" s="17" t="s">
        <v>223</v>
      </c>
    </row>
    <row r="81" spans="1:45" x14ac:dyDescent="0.25">
      <c r="A81" s="22">
        <v>45485</v>
      </c>
      <c r="B81" s="10" t="str">
        <f t="shared" si="37"/>
        <v>2024</v>
      </c>
      <c r="C81" s="10" t="str">
        <f t="shared" si="38"/>
        <v>July</v>
      </c>
      <c r="D81" s="10"/>
      <c r="E81" s="11">
        <v>189</v>
      </c>
      <c r="F81" s="12">
        <f t="shared" si="54"/>
        <v>2268</v>
      </c>
      <c r="G81" s="14" t="s">
        <v>31</v>
      </c>
      <c r="H81" s="6">
        <v>0</v>
      </c>
      <c r="I81" s="6">
        <v>57</v>
      </c>
      <c r="J81" s="6">
        <f t="shared" si="39"/>
        <v>1457</v>
      </c>
      <c r="K81" s="6"/>
      <c r="L81" s="6">
        <v>984</v>
      </c>
      <c r="M81" s="6"/>
      <c r="N81" s="6">
        <v>473</v>
      </c>
      <c r="O81" s="6"/>
      <c r="P81" s="6">
        <v>600</v>
      </c>
      <c r="Q81" s="6">
        <v>40</v>
      </c>
      <c r="R81" s="6">
        <v>0</v>
      </c>
      <c r="S81" s="6">
        <v>0</v>
      </c>
      <c r="T81" s="6">
        <v>0</v>
      </c>
      <c r="U81" s="14" t="s">
        <v>32</v>
      </c>
      <c r="V81" s="14"/>
      <c r="W81" s="6">
        <v>8</v>
      </c>
      <c r="X81" s="6">
        <v>4.0999999999999996</v>
      </c>
      <c r="Y81" s="15">
        <f t="shared" si="55"/>
        <v>8.5416666666666655E-2</v>
      </c>
      <c r="Z81" s="16">
        <f t="shared" si="41"/>
        <v>0.51249999999999996</v>
      </c>
      <c r="AA81" s="16"/>
      <c r="AB81" s="16"/>
      <c r="AC81" s="13">
        <f t="shared" si="42"/>
        <v>9.7560975609756113</v>
      </c>
      <c r="AD81" s="13">
        <f t="shared" si="43"/>
        <v>0</v>
      </c>
      <c r="AE81" s="13">
        <f t="shared" si="44"/>
        <v>355.36585365853659</v>
      </c>
      <c r="AF81" s="12"/>
      <c r="AG81" s="12">
        <f t="shared" si="53"/>
        <v>115.36585365853659</v>
      </c>
      <c r="AH81" s="12">
        <f t="shared" si="45"/>
        <v>0</v>
      </c>
      <c r="AI81" s="12">
        <f t="shared" si="46"/>
        <v>0</v>
      </c>
      <c r="AJ81" s="12">
        <f t="shared" si="47"/>
        <v>0.20855379188712522</v>
      </c>
      <c r="AK81" s="12">
        <f t="shared" si="48"/>
        <v>0</v>
      </c>
      <c r="AL81" s="12">
        <f t="shared" si="49"/>
        <v>0.20855379188712522</v>
      </c>
      <c r="AM81" s="13">
        <f t="shared" si="50"/>
        <v>0</v>
      </c>
      <c r="AN81" s="13">
        <f t="shared" si="51"/>
        <v>146.34146341463415</v>
      </c>
      <c r="AO81" s="13">
        <f t="shared" si="34"/>
        <v>0</v>
      </c>
      <c r="AP81" s="13">
        <f t="shared" si="35"/>
        <v>0</v>
      </c>
      <c r="AQ81" s="12">
        <f t="shared" si="52"/>
        <v>2097</v>
      </c>
      <c r="AR81" s="13">
        <f t="shared" si="36"/>
        <v>511.46341463414637</v>
      </c>
      <c r="AS81" s="17" t="s">
        <v>224</v>
      </c>
    </row>
    <row r="82" spans="1:45" x14ac:dyDescent="0.25">
      <c r="A82" s="22">
        <v>45488</v>
      </c>
      <c r="B82" s="10" t="str">
        <f t="shared" si="37"/>
        <v>2024</v>
      </c>
      <c r="C82" s="10" t="str">
        <f t="shared" si="38"/>
        <v>July</v>
      </c>
      <c r="D82" s="10"/>
      <c r="E82" s="11">
        <v>281</v>
      </c>
      <c r="F82" s="12">
        <f t="shared" si="54"/>
        <v>3372</v>
      </c>
      <c r="G82" s="14" t="s">
        <v>31</v>
      </c>
      <c r="H82" s="6">
        <v>0</v>
      </c>
      <c r="I82" s="6">
        <v>57</v>
      </c>
      <c r="J82" s="6">
        <f t="shared" si="39"/>
        <v>2247</v>
      </c>
      <c r="K82" s="6"/>
      <c r="L82" s="6">
        <v>1458</v>
      </c>
      <c r="M82" s="6"/>
      <c r="N82" s="6">
        <v>789</v>
      </c>
      <c r="O82" s="6"/>
      <c r="P82" s="6">
        <v>987</v>
      </c>
      <c r="Q82" s="6">
        <v>65</v>
      </c>
      <c r="R82" s="6">
        <v>0</v>
      </c>
      <c r="S82" s="6">
        <v>0</v>
      </c>
      <c r="T82" s="6">
        <v>0</v>
      </c>
      <c r="U82" s="14" t="s">
        <v>32</v>
      </c>
      <c r="V82" s="14"/>
      <c r="W82" s="6">
        <v>10</v>
      </c>
      <c r="X82" s="6">
        <v>6.5</v>
      </c>
      <c r="Y82" s="15">
        <f t="shared" si="55"/>
        <v>0.10833333333333334</v>
      </c>
      <c r="Z82" s="16">
        <f t="shared" si="41"/>
        <v>0.65</v>
      </c>
      <c r="AA82" s="16"/>
      <c r="AB82" s="16"/>
      <c r="AC82" s="13">
        <f t="shared" si="42"/>
        <v>10</v>
      </c>
      <c r="AD82" s="13">
        <f t="shared" si="43"/>
        <v>0</v>
      </c>
      <c r="AE82" s="13">
        <f t="shared" si="44"/>
        <v>345.69230769230768</v>
      </c>
      <c r="AF82" s="12"/>
      <c r="AG82" s="12">
        <f t="shared" si="53"/>
        <v>121.38461538461539</v>
      </c>
      <c r="AH82" s="12">
        <f t="shared" si="45"/>
        <v>0</v>
      </c>
      <c r="AI82" s="12">
        <f t="shared" si="46"/>
        <v>0</v>
      </c>
      <c r="AJ82" s="12">
        <f t="shared" si="47"/>
        <v>0.23398576512455516</v>
      </c>
      <c r="AK82" s="12">
        <f t="shared" si="48"/>
        <v>0</v>
      </c>
      <c r="AL82" s="12">
        <f t="shared" si="49"/>
        <v>0.23398576512455516</v>
      </c>
      <c r="AM82" s="13">
        <f t="shared" si="50"/>
        <v>0</v>
      </c>
      <c r="AN82" s="13">
        <f t="shared" si="51"/>
        <v>151.84615384615384</v>
      </c>
      <c r="AO82" s="13">
        <f t="shared" si="34"/>
        <v>0</v>
      </c>
      <c r="AP82" s="13">
        <f t="shared" si="35"/>
        <v>0</v>
      </c>
      <c r="AQ82" s="12">
        <f t="shared" si="52"/>
        <v>3299</v>
      </c>
      <c r="AR82" s="13">
        <f t="shared" si="36"/>
        <v>507.53846153846155</v>
      </c>
      <c r="AS82" s="17" t="s">
        <v>225</v>
      </c>
    </row>
    <row r="83" spans="1:45" x14ac:dyDescent="0.25">
      <c r="A83" s="22">
        <v>45489</v>
      </c>
      <c r="B83" s="10" t="str">
        <f t="shared" si="37"/>
        <v>2024</v>
      </c>
      <c r="C83" s="10" t="str">
        <f t="shared" si="38"/>
        <v>July</v>
      </c>
      <c r="D83" s="10"/>
      <c r="E83" s="11">
        <v>300</v>
      </c>
      <c r="F83" s="12">
        <f t="shared" si="54"/>
        <v>3600</v>
      </c>
      <c r="G83" s="14" t="s">
        <v>31</v>
      </c>
      <c r="H83" s="6">
        <v>0</v>
      </c>
      <c r="I83" s="6">
        <v>57</v>
      </c>
      <c r="J83" s="6">
        <f t="shared" si="39"/>
        <v>2417</v>
      </c>
      <c r="K83" s="6"/>
      <c r="L83" s="6">
        <v>1537</v>
      </c>
      <c r="M83" s="6"/>
      <c r="N83" s="6">
        <v>880</v>
      </c>
      <c r="O83" s="6"/>
      <c r="P83" s="6">
        <v>990</v>
      </c>
      <c r="Q83" s="6">
        <v>66</v>
      </c>
      <c r="R83" s="6">
        <v>0</v>
      </c>
      <c r="S83" s="6">
        <v>0</v>
      </c>
      <c r="T83" s="6">
        <v>0</v>
      </c>
      <c r="U83" s="14" t="s">
        <v>32</v>
      </c>
      <c r="V83" s="14"/>
      <c r="W83" s="6">
        <v>10</v>
      </c>
      <c r="X83" s="6">
        <v>6.6</v>
      </c>
      <c r="Y83" s="15">
        <f t="shared" si="55"/>
        <v>0.11</v>
      </c>
      <c r="Z83" s="16">
        <f t="shared" si="41"/>
        <v>0.65999999999999992</v>
      </c>
      <c r="AA83" s="16"/>
      <c r="AB83" s="16"/>
      <c r="AC83" s="13">
        <f t="shared" si="42"/>
        <v>10</v>
      </c>
      <c r="AD83" s="13">
        <f t="shared" si="43"/>
        <v>0</v>
      </c>
      <c r="AE83" s="13">
        <f t="shared" si="44"/>
        <v>366.21212121212125</v>
      </c>
      <c r="AF83" s="12"/>
      <c r="AG83" s="12">
        <f t="shared" si="53"/>
        <v>133.33333333333334</v>
      </c>
      <c r="AH83" s="12">
        <f t="shared" si="45"/>
        <v>0</v>
      </c>
      <c r="AI83" s="12">
        <f t="shared" si="46"/>
        <v>0</v>
      </c>
      <c r="AJ83" s="12">
        <f t="shared" si="47"/>
        <v>0.24444444444444444</v>
      </c>
      <c r="AK83" s="12">
        <f t="shared" si="48"/>
        <v>0</v>
      </c>
      <c r="AL83" s="12">
        <f t="shared" si="49"/>
        <v>0.24444444444444444</v>
      </c>
      <c r="AM83" s="13">
        <f t="shared" si="50"/>
        <v>0</v>
      </c>
      <c r="AN83" s="13">
        <f t="shared" si="51"/>
        <v>150</v>
      </c>
      <c r="AO83" s="13">
        <f t="shared" si="34"/>
        <v>0</v>
      </c>
      <c r="AP83" s="13">
        <f t="shared" si="35"/>
        <v>0</v>
      </c>
      <c r="AQ83" s="12">
        <f t="shared" si="52"/>
        <v>3473</v>
      </c>
      <c r="AR83" s="13">
        <f t="shared" si="36"/>
        <v>526.21212121212125</v>
      </c>
      <c r="AS83" s="17" t="s">
        <v>226</v>
      </c>
    </row>
    <row r="84" spans="1:45" x14ac:dyDescent="0.25">
      <c r="A84" s="22">
        <v>45491</v>
      </c>
      <c r="B84" s="10" t="str">
        <f t="shared" si="37"/>
        <v>2024</v>
      </c>
      <c r="C84" s="10" t="str">
        <f t="shared" si="38"/>
        <v>July</v>
      </c>
      <c r="D84" s="10"/>
      <c r="E84" s="11">
        <v>227</v>
      </c>
      <c r="F84" s="12">
        <f t="shared" si="54"/>
        <v>2724</v>
      </c>
      <c r="G84" s="14" t="s">
        <v>31</v>
      </c>
      <c r="H84" s="6">
        <v>0</v>
      </c>
      <c r="I84" s="6">
        <v>57</v>
      </c>
      <c r="J84" s="6">
        <f t="shared" si="39"/>
        <v>3321</v>
      </c>
      <c r="K84" s="6"/>
      <c r="L84" s="6">
        <v>2166</v>
      </c>
      <c r="M84" s="6"/>
      <c r="N84" s="6">
        <v>1155</v>
      </c>
      <c r="O84" s="6"/>
      <c r="P84" s="6">
        <v>1500</v>
      </c>
      <c r="Q84" s="6">
        <v>100</v>
      </c>
      <c r="R84" s="6">
        <v>0</v>
      </c>
      <c r="S84" s="6">
        <v>0</v>
      </c>
      <c r="T84" s="6">
        <v>0</v>
      </c>
      <c r="U84" s="14" t="s">
        <v>32</v>
      </c>
      <c r="V84" s="14"/>
      <c r="W84" s="6">
        <v>12</v>
      </c>
      <c r="X84" s="6">
        <v>10.5</v>
      </c>
      <c r="Y84" s="15">
        <f t="shared" si="55"/>
        <v>0.14583333333333334</v>
      </c>
      <c r="Z84" s="16">
        <f t="shared" si="41"/>
        <v>0.875</v>
      </c>
      <c r="AA84" s="16"/>
      <c r="AB84" s="16"/>
      <c r="AC84" s="13">
        <f t="shared" si="42"/>
        <v>9.5238095238095237</v>
      </c>
      <c r="AD84" s="13">
        <f t="shared" si="43"/>
        <v>0</v>
      </c>
      <c r="AE84" s="13">
        <f t="shared" si="44"/>
        <v>316.28571428571428</v>
      </c>
      <c r="AF84" s="12"/>
      <c r="AG84" s="12">
        <f t="shared" si="53"/>
        <v>110</v>
      </c>
      <c r="AH84" s="12">
        <f t="shared" si="45"/>
        <v>0</v>
      </c>
      <c r="AI84" s="12">
        <f t="shared" si="46"/>
        <v>0</v>
      </c>
      <c r="AJ84" s="12">
        <f t="shared" si="47"/>
        <v>0.42400881057268724</v>
      </c>
      <c r="AK84" s="12">
        <f t="shared" si="48"/>
        <v>0</v>
      </c>
      <c r="AL84" s="12">
        <f t="shared" si="49"/>
        <v>0.42400881057268724</v>
      </c>
      <c r="AM84" s="13">
        <f t="shared" si="50"/>
        <v>0</v>
      </c>
      <c r="AN84" s="13">
        <f t="shared" si="51"/>
        <v>142.85714285714286</v>
      </c>
      <c r="AO84" s="13">
        <f t="shared" ref="AO84:AO116" si="56">S84/X84</f>
        <v>0</v>
      </c>
      <c r="AP84" s="13">
        <f t="shared" ref="AP84:AP116" si="57">T84/X84</f>
        <v>0</v>
      </c>
      <c r="AQ84" s="12">
        <f t="shared" si="52"/>
        <v>4921</v>
      </c>
      <c r="AR84" s="13">
        <f t="shared" si="36"/>
        <v>468.66666666666663</v>
      </c>
      <c r="AS84" s="17" t="s">
        <v>227</v>
      </c>
    </row>
    <row r="85" spans="1:45" x14ac:dyDescent="0.25">
      <c r="A85" s="22">
        <v>45492</v>
      </c>
      <c r="B85" s="10" t="str">
        <f t="shared" si="37"/>
        <v>2024</v>
      </c>
      <c r="C85" s="10" t="str">
        <f t="shared" si="38"/>
        <v>July</v>
      </c>
      <c r="D85" s="10"/>
      <c r="E85" s="11">
        <v>340</v>
      </c>
      <c r="F85" s="12">
        <f t="shared" si="54"/>
        <v>4080</v>
      </c>
      <c r="G85" s="14" t="s">
        <v>31</v>
      </c>
      <c r="H85" s="6">
        <v>0</v>
      </c>
      <c r="I85" s="6">
        <v>57</v>
      </c>
      <c r="J85" s="6">
        <f t="shared" si="39"/>
        <v>2784</v>
      </c>
      <c r="K85" s="6"/>
      <c r="L85" s="6">
        <v>1824</v>
      </c>
      <c r="M85" s="6"/>
      <c r="N85" s="6">
        <v>960</v>
      </c>
      <c r="O85" s="6"/>
      <c r="P85" s="6">
        <v>1275</v>
      </c>
      <c r="Q85" s="6">
        <v>85</v>
      </c>
      <c r="R85" s="6">
        <v>0</v>
      </c>
      <c r="S85" s="6">
        <v>0</v>
      </c>
      <c r="T85" s="6">
        <v>0</v>
      </c>
      <c r="U85" s="14" t="s">
        <v>32</v>
      </c>
      <c r="V85" s="14"/>
      <c r="W85" s="6">
        <v>10</v>
      </c>
      <c r="X85" s="6">
        <v>8.5</v>
      </c>
      <c r="Y85" s="15">
        <f t="shared" si="55"/>
        <v>0.14166666666666666</v>
      </c>
      <c r="Z85" s="16">
        <f t="shared" si="41"/>
        <v>0.85</v>
      </c>
      <c r="AA85" s="16"/>
      <c r="AB85" s="16"/>
      <c r="AC85" s="13">
        <f t="shared" si="42"/>
        <v>10</v>
      </c>
      <c r="AD85" s="13">
        <f t="shared" si="43"/>
        <v>0</v>
      </c>
      <c r="AE85" s="13">
        <f t="shared" si="44"/>
        <v>327.52941176470586</v>
      </c>
      <c r="AF85" s="12"/>
      <c r="AG85" s="12">
        <f t="shared" si="53"/>
        <v>112.94117647058823</v>
      </c>
      <c r="AH85" s="12">
        <f t="shared" si="45"/>
        <v>0</v>
      </c>
      <c r="AI85" s="12">
        <f t="shared" si="46"/>
        <v>0</v>
      </c>
      <c r="AJ85" s="12">
        <f t="shared" si="47"/>
        <v>0.23529411764705882</v>
      </c>
      <c r="AK85" s="12">
        <f t="shared" si="48"/>
        <v>0</v>
      </c>
      <c r="AL85" s="12">
        <f t="shared" si="49"/>
        <v>0.23529411764705882</v>
      </c>
      <c r="AM85" s="13">
        <f t="shared" si="50"/>
        <v>0</v>
      </c>
      <c r="AN85" s="13">
        <f t="shared" si="51"/>
        <v>150</v>
      </c>
      <c r="AO85" s="13">
        <f t="shared" si="56"/>
        <v>0</v>
      </c>
      <c r="AP85" s="13">
        <f t="shared" si="57"/>
        <v>0</v>
      </c>
      <c r="AQ85" s="12">
        <f t="shared" si="52"/>
        <v>4144</v>
      </c>
      <c r="AR85" s="13">
        <f t="shared" ref="AR85:AR116" si="58">AO85+AN85+AM85+AE85+AD85+AC85</f>
        <v>487.52941176470586</v>
      </c>
      <c r="AS85" s="17" t="s">
        <v>228</v>
      </c>
    </row>
    <row r="86" spans="1:45" x14ac:dyDescent="0.25">
      <c r="A86" s="22">
        <v>45495</v>
      </c>
      <c r="B86" s="10" t="str">
        <f t="shared" si="37"/>
        <v>2024</v>
      </c>
      <c r="C86" s="10" t="str">
        <f t="shared" si="38"/>
        <v>July</v>
      </c>
      <c r="D86" s="10"/>
      <c r="E86" s="11">
        <v>338</v>
      </c>
      <c r="F86" s="12">
        <f t="shared" si="54"/>
        <v>4056</v>
      </c>
      <c r="G86" s="14" t="s">
        <v>31</v>
      </c>
      <c r="H86" s="6">
        <v>0</v>
      </c>
      <c r="I86" s="6">
        <v>57</v>
      </c>
      <c r="J86" s="6">
        <f t="shared" si="39"/>
        <v>1806</v>
      </c>
      <c r="K86" s="6"/>
      <c r="L86" s="6">
        <v>1806</v>
      </c>
      <c r="M86" s="6"/>
      <c r="N86" s="6">
        <v>0</v>
      </c>
      <c r="O86" s="6"/>
      <c r="P86" s="6">
        <v>1200</v>
      </c>
      <c r="Q86" s="6">
        <v>80</v>
      </c>
      <c r="R86" s="6">
        <v>2000</v>
      </c>
      <c r="S86" s="6">
        <v>0</v>
      </c>
      <c r="T86" s="6">
        <v>0</v>
      </c>
      <c r="U86" s="14" t="s">
        <v>32</v>
      </c>
      <c r="V86" s="14"/>
      <c r="W86" s="6">
        <v>10</v>
      </c>
      <c r="X86" s="6">
        <v>8</v>
      </c>
      <c r="Y86" s="15">
        <f t="shared" si="55"/>
        <v>0.13333333333333333</v>
      </c>
      <c r="Z86" s="16">
        <f t="shared" si="41"/>
        <v>0.8</v>
      </c>
      <c r="AA86" s="16"/>
      <c r="AB86" s="16"/>
      <c r="AC86" s="13">
        <f t="shared" si="42"/>
        <v>10</v>
      </c>
      <c r="AD86" s="13">
        <f t="shared" si="43"/>
        <v>0</v>
      </c>
      <c r="AE86" s="13">
        <f t="shared" si="44"/>
        <v>225.75</v>
      </c>
      <c r="AF86" s="12"/>
      <c r="AG86" s="12"/>
      <c r="AH86" s="12">
        <f t="shared" si="45"/>
        <v>0</v>
      </c>
      <c r="AI86" s="12">
        <f t="shared" si="46"/>
        <v>0</v>
      </c>
      <c r="AJ86" s="12">
        <f t="shared" si="47"/>
        <v>0</v>
      </c>
      <c r="AK86" s="12">
        <f t="shared" si="48"/>
        <v>0</v>
      </c>
      <c r="AL86" s="12">
        <f t="shared" si="49"/>
        <v>0</v>
      </c>
      <c r="AM86" s="13">
        <f t="shared" si="50"/>
        <v>250</v>
      </c>
      <c r="AN86" s="13">
        <f t="shared" si="51"/>
        <v>150</v>
      </c>
      <c r="AO86" s="13">
        <f t="shared" si="56"/>
        <v>0</v>
      </c>
      <c r="AP86" s="13">
        <f t="shared" si="57"/>
        <v>0</v>
      </c>
      <c r="AQ86" s="12">
        <f t="shared" si="52"/>
        <v>5086</v>
      </c>
      <c r="AR86" s="13">
        <f t="shared" si="58"/>
        <v>635.75</v>
      </c>
      <c r="AS86" s="17" t="s">
        <v>229</v>
      </c>
    </row>
    <row r="87" spans="1:45" x14ac:dyDescent="0.25">
      <c r="A87" s="22">
        <v>45496</v>
      </c>
      <c r="B87" s="10" t="str">
        <f t="shared" si="37"/>
        <v>2024</v>
      </c>
      <c r="C87" s="10" t="str">
        <f t="shared" si="38"/>
        <v>July</v>
      </c>
      <c r="D87" s="10"/>
      <c r="E87" s="11">
        <v>335</v>
      </c>
      <c r="F87" s="12">
        <f t="shared" si="54"/>
        <v>4020</v>
      </c>
      <c r="G87" s="14" t="s">
        <v>31</v>
      </c>
      <c r="H87" s="6">
        <v>0</v>
      </c>
      <c r="I87" s="6">
        <v>57</v>
      </c>
      <c r="J87" s="6">
        <f t="shared" si="39"/>
        <v>2778</v>
      </c>
      <c r="K87" s="6"/>
      <c r="L87" s="6">
        <v>1825</v>
      </c>
      <c r="M87" s="6"/>
      <c r="N87" s="6">
        <v>953</v>
      </c>
      <c r="O87" s="6"/>
      <c r="P87" s="6">
        <v>1035</v>
      </c>
      <c r="Q87" s="6">
        <v>69</v>
      </c>
      <c r="R87" s="6">
        <v>0</v>
      </c>
      <c r="S87" s="6">
        <v>0</v>
      </c>
      <c r="T87" s="6">
        <v>0</v>
      </c>
      <c r="U87" s="14" t="s">
        <v>32</v>
      </c>
      <c r="V87" s="14"/>
      <c r="W87" s="6">
        <v>10</v>
      </c>
      <c r="X87" s="6">
        <v>6.9</v>
      </c>
      <c r="Y87" s="15">
        <f t="shared" si="55"/>
        <v>0.115</v>
      </c>
      <c r="Z87" s="16">
        <f t="shared" si="41"/>
        <v>0.69000000000000006</v>
      </c>
      <c r="AA87" s="16"/>
      <c r="AB87" s="16"/>
      <c r="AC87" s="13">
        <f t="shared" si="42"/>
        <v>10</v>
      </c>
      <c r="AD87" s="13">
        <f t="shared" si="43"/>
        <v>0</v>
      </c>
      <c r="AE87" s="13">
        <f t="shared" si="44"/>
        <v>402.60869565217388</v>
      </c>
      <c r="AF87" s="12"/>
      <c r="AG87" s="12">
        <f t="shared" si="53"/>
        <v>138.1159420289855</v>
      </c>
      <c r="AH87" s="12">
        <f t="shared" si="45"/>
        <v>0</v>
      </c>
      <c r="AI87" s="12">
        <f t="shared" si="46"/>
        <v>0</v>
      </c>
      <c r="AJ87" s="12">
        <f t="shared" si="47"/>
        <v>0.23706467661691541</v>
      </c>
      <c r="AK87" s="12">
        <f t="shared" si="48"/>
        <v>0</v>
      </c>
      <c r="AL87" s="12">
        <f t="shared" si="49"/>
        <v>0.23706467661691541</v>
      </c>
      <c r="AM87" s="13">
        <f t="shared" si="50"/>
        <v>0</v>
      </c>
      <c r="AN87" s="13">
        <f t="shared" si="51"/>
        <v>150</v>
      </c>
      <c r="AO87" s="13">
        <f t="shared" si="56"/>
        <v>0</v>
      </c>
      <c r="AP87" s="13">
        <f t="shared" si="57"/>
        <v>0</v>
      </c>
      <c r="AQ87" s="12">
        <f t="shared" si="52"/>
        <v>3882</v>
      </c>
      <c r="AR87" s="13">
        <f t="shared" si="58"/>
        <v>562.60869565217388</v>
      </c>
      <c r="AS87" s="17" t="s">
        <v>230</v>
      </c>
    </row>
    <row r="88" spans="1:45" x14ac:dyDescent="0.25">
      <c r="A88" s="22">
        <v>45498</v>
      </c>
      <c r="B88" s="10" t="str">
        <f t="shared" si="37"/>
        <v>2024</v>
      </c>
      <c r="C88" s="10" t="str">
        <f t="shared" si="38"/>
        <v>July</v>
      </c>
      <c r="D88" s="10"/>
      <c r="E88" s="11">
        <v>430</v>
      </c>
      <c r="F88" s="12">
        <f t="shared" si="54"/>
        <v>5160</v>
      </c>
      <c r="G88" s="14" t="s">
        <v>31</v>
      </c>
      <c r="H88" s="6">
        <v>0</v>
      </c>
      <c r="I88" s="6">
        <v>57</v>
      </c>
      <c r="J88" s="6">
        <f t="shared" si="39"/>
        <v>3176</v>
      </c>
      <c r="K88" s="6"/>
      <c r="L88" s="6">
        <v>2115</v>
      </c>
      <c r="M88" s="6"/>
      <c r="N88" s="6">
        <v>1061</v>
      </c>
      <c r="O88" s="6"/>
      <c r="P88" s="6">
        <v>1275</v>
      </c>
      <c r="Q88" s="6">
        <v>85</v>
      </c>
      <c r="R88" s="6">
        <v>0</v>
      </c>
      <c r="S88" s="6">
        <v>0</v>
      </c>
      <c r="T88" s="6">
        <v>0</v>
      </c>
      <c r="U88" s="14" t="s">
        <v>32</v>
      </c>
      <c r="V88" s="14"/>
      <c r="W88" s="6">
        <v>11</v>
      </c>
      <c r="X88" s="6">
        <v>8.5</v>
      </c>
      <c r="Y88" s="15">
        <f t="shared" si="55"/>
        <v>0.12878787878787878</v>
      </c>
      <c r="Z88" s="16">
        <f t="shared" si="41"/>
        <v>0.77272727272727271</v>
      </c>
      <c r="AA88" s="16"/>
      <c r="AB88" s="16"/>
      <c r="AC88" s="13">
        <f t="shared" si="42"/>
        <v>10</v>
      </c>
      <c r="AD88" s="13">
        <f t="shared" si="43"/>
        <v>0</v>
      </c>
      <c r="AE88" s="13">
        <f t="shared" si="44"/>
        <v>373.64705882352939</v>
      </c>
      <c r="AF88" s="12"/>
      <c r="AG88" s="12">
        <f t="shared" si="53"/>
        <v>124.82352941176471</v>
      </c>
      <c r="AH88" s="12">
        <f t="shared" si="45"/>
        <v>0</v>
      </c>
      <c r="AI88" s="12">
        <f t="shared" si="46"/>
        <v>0</v>
      </c>
      <c r="AJ88" s="12">
        <f t="shared" si="47"/>
        <v>0.20562015503875969</v>
      </c>
      <c r="AK88" s="12">
        <f t="shared" si="48"/>
        <v>0</v>
      </c>
      <c r="AL88" s="12">
        <f t="shared" si="49"/>
        <v>0.20562015503875969</v>
      </c>
      <c r="AM88" s="13">
        <f t="shared" si="50"/>
        <v>0</v>
      </c>
      <c r="AN88" s="13">
        <f t="shared" si="51"/>
        <v>150</v>
      </c>
      <c r="AO88" s="13">
        <f t="shared" si="56"/>
        <v>0</v>
      </c>
      <c r="AP88" s="13">
        <f t="shared" si="57"/>
        <v>0</v>
      </c>
      <c r="AQ88" s="12">
        <f t="shared" si="52"/>
        <v>4536</v>
      </c>
      <c r="AR88" s="13">
        <f t="shared" si="58"/>
        <v>533.64705882352939</v>
      </c>
      <c r="AS88" s="17"/>
    </row>
    <row r="89" spans="1:45" x14ac:dyDescent="0.25">
      <c r="A89" s="22">
        <v>45499</v>
      </c>
      <c r="B89" s="10" t="str">
        <f t="shared" si="37"/>
        <v>2024</v>
      </c>
      <c r="C89" s="10" t="str">
        <f t="shared" si="38"/>
        <v>July</v>
      </c>
      <c r="D89" s="10"/>
      <c r="E89" s="11">
        <v>341</v>
      </c>
      <c r="F89" s="12">
        <f t="shared" si="54"/>
        <v>4092</v>
      </c>
      <c r="G89" s="14" t="s">
        <v>31</v>
      </c>
      <c r="H89" s="6">
        <v>0</v>
      </c>
      <c r="I89" s="6">
        <v>57</v>
      </c>
      <c r="J89" s="6">
        <f t="shared" si="39"/>
        <v>2733</v>
      </c>
      <c r="K89" s="6"/>
      <c r="L89" s="6">
        <v>1901</v>
      </c>
      <c r="M89" s="6"/>
      <c r="N89" s="6">
        <v>832</v>
      </c>
      <c r="O89" s="6"/>
      <c r="P89" s="6">
        <v>1440</v>
      </c>
      <c r="Q89" s="6">
        <v>96</v>
      </c>
      <c r="R89" s="6">
        <v>0</v>
      </c>
      <c r="S89" s="6">
        <v>0</v>
      </c>
      <c r="T89" s="6">
        <v>0</v>
      </c>
      <c r="U89" s="14" t="s">
        <v>32</v>
      </c>
      <c r="V89" s="14"/>
      <c r="W89" s="6">
        <v>10.6</v>
      </c>
      <c r="X89" s="6">
        <v>9.58</v>
      </c>
      <c r="Y89" s="15">
        <f t="shared" si="55"/>
        <v>0.15062893081761008</v>
      </c>
      <c r="Z89" s="16">
        <f t="shared" si="41"/>
        <v>0.9037735849056604</v>
      </c>
      <c r="AA89" s="16"/>
      <c r="AB89" s="16"/>
      <c r="AC89" s="13">
        <f t="shared" si="42"/>
        <v>10.020876826722338</v>
      </c>
      <c r="AD89" s="13">
        <f t="shared" si="43"/>
        <v>0</v>
      </c>
      <c r="AE89" s="13">
        <f t="shared" si="44"/>
        <v>285.28183716075154</v>
      </c>
      <c r="AF89" s="12"/>
      <c r="AG89" s="12">
        <f t="shared" si="53"/>
        <v>86.847599164926933</v>
      </c>
      <c r="AH89" s="12">
        <f t="shared" si="45"/>
        <v>0</v>
      </c>
      <c r="AI89" s="12">
        <f t="shared" si="46"/>
        <v>0</v>
      </c>
      <c r="AJ89" s="12">
        <f t="shared" si="47"/>
        <v>0.20332355816226785</v>
      </c>
      <c r="AK89" s="12">
        <f t="shared" si="48"/>
        <v>0</v>
      </c>
      <c r="AL89" s="12">
        <f t="shared" si="49"/>
        <v>0.20332355816226785</v>
      </c>
      <c r="AM89" s="13">
        <f t="shared" si="50"/>
        <v>0</v>
      </c>
      <c r="AN89" s="13">
        <f t="shared" si="51"/>
        <v>150.31315240083507</v>
      </c>
      <c r="AO89" s="13">
        <f t="shared" si="56"/>
        <v>0</v>
      </c>
      <c r="AP89" s="13">
        <f t="shared" si="57"/>
        <v>0</v>
      </c>
      <c r="AQ89" s="12">
        <f t="shared" si="52"/>
        <v>4269</v>
      </c>
      <c r="AR89" s="13">
        <f t="shared" si="58"/>
        <v>445.61586638830892</v>
      </c>
      <c r="AS89" s="17"/>
    </row>
    <row r="90" spans="1:45" x14ac:dyDescent="0.25">
      <c r="A90" s="22">
        <v>45502</v>
      </c>
      <c r="B90" s="10" t="str">
        <f t="shared" si="37"/>
        <v>2024</v>
      </c>
      <c r="C90" s="10" t="str">
        <f t="shared" si="38"/>
        <v>July</v>
      </c>
      <c r="D90" s="10"/>
      <c r="E90" s="11">
        <v>285</v>
      </c>
      <c r="F90" s="12">
        <f t="shared" si="54"/>
        <v>3420</v>
      </c>
      <c r="G90" s="14" t="s">
        <v>31</v>
      </c>
      <c r="H90" s="6">
        <v>0</v>
      </c>
      <c r="I90" s="6">
        <v>57</v>
      </c>
      <c r="J90" s="6">
        <f t="shared" si="39"/>
        <v>2284</v>
      </c>
      <c r="K90" s="6"/>
      <c r="L90" s="6">
        <v>1526</v>
      </c>
      <c r="M90" s="6"/>
      <c r="N90" s="6">
        <v>758</v>
      </c>
      <c r="O90" s="6"/>
      <c r="P90" s="6">
        <v>1095</v>
      </c>
      <c r="Q90" s="6">
        <v>73</v>
      </c>
      <c r="R90" s="6">
        <v>0</v>
      </c>
      <c r="S90" s="6">
        <v>0</v>
      </c>
      <c r="T90" s="6">
        <v>0</v>
      </c>
      <c r="U90" s="14" t="s">
        <v>32</v>
      </c>
      <c r="V90" s="14"/>
      <c r="W90" s="6">
        <v>10</v>
      </c>
      <c r="X90" s="6">
        <v>7.3</v>
      </c>
      <c r="Y90" s="15">
        <f t="shared" si="55"/>
        <v>0.12166666666666666</v>
      </c>
      <c r="Z90" s="16">
        <f t="shared" si="41"/>
        <v>0.73</v>
      </c>
      <c r="AA90" s="16"/>
      <c r="AB90" s="16"/>
      <c r="AC90" s="13">
        <f t="shared" si="42"/>
        <v>10</v>
      </c>
      <c r="AD90" s="13">
        <f t="shared" si="43"/>
        <v>0</v>
      </c>
      <c r="AE90" s="13">
        <f t="shared" si="44"/>
        <v>312.87671232876716</v>
      </c>
      <c r="AF90" s="12"/>
      <c r="AG90" s="12">
        <f t="shared" si="53"/>
        <v>103.83561643835617</v>
      </c>
      <c r="AH90" s="12">
        <f t="shared" si="45"/>
        <v>0</v>
      </c>
      <c r="AI90" s="12">
        <f t="shared" si="46"/>
        <v>0</v>
      </c>
      <c r="AJ90" s="12">
        <f t="shared" si="47"/>
        <v>0.2216374269005848</v>
      </c>
      <c r="AK90" s="12">
        <f t="shared" si="48"/>
        <v>0</v>
      </c>
      <c r="AL90" s="12">
        <f t="shared" si="49"/>
        <v>0.2216374269005848</v>
      </c>
      <c r="AM90" s="13">
        <f t="shared" si="50"/>
        <v>0</v>
      </c>
      <c r="AN90" s="13">
        <f t="shared" si="51"/>
        <v>150</v>
      </c>
      <c r="AO90" s="13">
        <f t="shared" si="56"/>
        <v>0</v>
      </c>
      <c r="AP90" s="13">
        <f t="shared" si="57"/>
        <v>0</v>
      </c>
      <c r="AQ90" s="12">
        <f t="shared" si="52"/>
        <v>3452</v>
      </c>
      <c r="AR90" s="13">
        <f t="shared" si="58"/>
        <v>472.87671232876716</v>
      </c>
      <c r="AS90" s="17" t="s">
        <v>231</v>
      </c>
    </row>
    <row r="91" spans="1:45" x14ac:dyDescent="0.25">
      <c r="A91" s="22">
        <v>45503</v>
      </c>
      <c r="B91" s="10" t="str">
        <f t="shared" si="37"/>
        <v>2024</v>
      </c>
      <c r="C91" s="10" t="str">
        <f t="shared" si="38"/>
        <v>July</v>
      </c>
      <c r="D91" s="10"/>
      <c r="E91" s="11">
        <v>336</v>
      </c>
      <c r="F91" s="12">
        <f t="shared" si="54"/>
        <v>4032</v>
      </c>
      <c r="G91" s="14" t="s">
        <v>31</v>
      </c>
      <c r="H91" s="6">
        <v>0</v>
      </c>
      <c r="I91" s="6">
        <v>57</v>
      </c>
      <c r="J91" s="6">
        <f t="shared" si="39"/>
        <v>2624</v>
      </c>
      <c r="K91" s="6"/>
      <c r="L91" s="6">
        <v>1759</v>
      </c>
      <c r="M91" s="6"/>
      <c r="N91" s="6">
        <v>865</v>
      </c>
      <c r="O91" s="6"/>
      <c r="P91" s="6">
        <v>990</v>
      </c>
      <c r="Q91" s="6">
        <v>66</v>
      </c>
      <c r="R91" s="6">
        <v>0</v>
      </c>
      <c r="S91" s="6">
        <v>0</v>
      </c>
      <c r="T91" s="6">
        <v>0</v>
      </c>
      <c r="U91" s="14" t="s">
        <v>32</v>
      </c>
      <c r="V91" s="14"/>
      <c r="W91" s="6">
        <v>10</v>
      </c>
      <c r="X91" s="6">
        <v>6.6</v>
      </c>
      <c r="Y91" s="15">
        <f t="shared" si="55"/>
        <v>0.11</v>
      </c>
      <c r="Z91" s="16">
        <f t="shared" si="41"/>
        <v>0.65999999999999992</v>
      </c>
      <c r="AA91" s="16"/>
      <c r="AB91" s="16"/>
      <c r="AC91" s="13">
        <f t="shared" si="42"/>
        <v>10</v>
      </c>
      <c r="AD91" s="13">
        <f t="shared" si="43"/>
        <v>0</v>
      </c>
      <c r="AE91" s="13">
        <f t="shared" si="44"/>
        <v>397.57575757575762</v>
      </c>
      <c r="AF91" s="12"/>
      <c r="AG91" s="12">
        <f t="shared" si="53"/>
        <v>131.06060606060606</v>
      </c>
      <c r="AH91" s="12">
        <f t="shared" si="45"/>
        <v>0</v>
      </c>
      <c r="AI91" s="12">
        <f t="shared" si="46"/>
        <v>0</v>
      </c>
      <c r="AJ91" s="12">
        <f t="shared" si="47"/>
        <v>0.21453373015873015</v>
      </c>
      <c r="AK91" s="12">
        <f t="shared" si="48"/>
        <v>0</v>
      </c>
      <c r="AL91" s="12">
        <f t="shared" si="49"/>
        <v>0.21453373015873015</v>
      </c>
      <c r="AM91" s="13">
        <f t="shared" si="50"/>
        <v>0</v>
      </c>
      <c r="AN91" s="13">
        <f t="shared" si="51"/>
        <v>150</v>
      </c>
      <c r="AO91" s="13">
        <f t="shared" si="56"/>
        <v>0</v>
      </c>
      <c r="AP91" s="13">
        <f t="shared" si="57"/>
        <v>0</v>
      </c>
      <c r="AQ91" s="12">
        <f t="shared" si="52"/>
        <v>3680</v>
      </c>
      <c r="AR91" s="13">
        <f t="shared" si="58"/>
        <v>557.57575757575762</v>
      </c>
      <c r="AS91" s="17"/>
    </row>
    <row r="92" spans="1:45" x14ac:dyDescent="0.25">
      <c r="A92" s="22">
        <v>45505</v>
      </c>
      <c r="B92" s="10" t="str">
        <f t="shared" si="37"/>
        <v>2024</v>
      </c>
      <c r="C92" s="10" t="str">
        <f t="shared" si="38"/>
        <v>August</v>
      </c>
      <c r="D92" s="10"/>
      <c r="E92" s="11">
        <v>276</v>
      </c>
      <c r="F92" s="12">
        <f t="shared" si="54"/>
        <v>3312</v>
      </c>
      <c r="G92" s="14" t="s">
        <v>31</v>
      </c>
      <c r="H92" s="6">
        <v>0</v>
      </c>
      <c r="I92" s="6">
        <v>57</v>
      </c>
      <c r="J92" s="6">
        <f t="shared" si="39"/>
        <v>2242</v>
      </c>
      <c r="K92" s="6"/>
      <c r="L92" s="6">
        <v>1502</v>
      </c>
      <c r="M92" s="6"/>
      <c r="N92" s="6">
        <v>740</v>
      </c>
      <c r="O92" s="6"/>
      <c r="P92" s="6">
        <v>870</v>
      </c>
      <c r="Q92" s="6">
        <v>58</v>
      </c>
      <c r="R92" s="6">
        <v>0</v>
      </c>
      <c r="S92" s="6">
        <v>0</v>
      </c>
      <c r="T92" s="6">
        <v>0</v>
      </c>
      <c r="U92" s="14" t="s">
        <v>32</v>
      </c>
      <c r="V92" s="14"/>
      <c r="W92" s="6">
        <v>12</v>
      </c>
      <c r="X92" s="6">
        <v>5.8</v>
      </c>
      <c r="Y92" s="15">
        <f t="shared" si="55"/>
        <v>8.0555555555555547E-2</v>
      </c>
      <c r="Z92" s="16">
        <f t="shared" si="41"/>
        <v>0.48333333333333334</v>
      </c>
      <c r="AA92" s="16"/>
      <c r="AB92" s="16"/>
      <c r="AC92" s="13">
        <f t="shared" si="42"/>
        <v>10</v>
      </c>
      <c r="AD92" s="13">
        <f t="shared" si="43"/>
        <v>0</v>
      </c>
      <c r="AE92" s="13">
        <f t="shared" si="44"/>
        <v>386.55172413793105</v>
      </c>
      <c r="AF92" s="12"/>
      <c r="AG92" s="12">
        <f t="shared" si="53"/>
        <v>127.58620689655173</v>
      </c>
      <c r="AH92" s="12">
        <f t="shared" si="45"/>
        <v>0</v>
      </c>
      <c r="AI92" s="12">
        <f t="shared" si="46"/>
        <v>0</v>
      </c>
      <c r="AJ92" s="12">
        <f t="shared" si="47"/>
        <v>0.22342995169082125</v>
      </c>
      <c r="AK92" s="12">
        <f t="shared" si="48"/>
        <v>0</v>
      </c>
      <c r="AL92" s="12">
        <f t="shared" si="49"/>
        <v>0.22342995169082125</v>
      </c>
      <c r="AM92" s="13">
        <f t="shared" si="50"/>
        <v>0</v>
      </c>
      <c r="AN92" s="13">
        <f t="shared" si="51"/>
        <v>150</v>
      </c>
      <c r="AO92" s="13">
        <f t="shared" si="56"/>
        <v>0</v>
      </c>
      <c r="AP92" s="13">
        <f t="shared" si="57"/>
        <v>0</v>
      </c>
      <c r="AQ92" s="12">
        <f t="shared" si="52"/>
        <v>3170</v>
      </c>
      <c r="AR92" s="13">
        <f t="shared" si="58"/>
        <v>546.55172413793105</v>
      </c>
      <c r="AS92" s="17" t="s">
        <v>232</v>
      </c>
    </row>
    <row r="93" spans="1:45" x14ac:dyDescent="0.25">
      <c r="A93" s="22">
        <v>45506</v>
      </c>
      <c r="B93" s="10" t="str">
        <f t="shared" si="37"/>
        <v>2024</v>
      </c>
      <c r="C93" s="10" t="str">
        <f t="shared" si="38"/>
        <v>August</v>
      </c>
      <c r="D93" s="10"/>
      <c r="E93" s="11">
        <v>151</v>
      </c>
      <c r="F93" s="12">
        <f t="shared" si="54"/>
        <v>1812</v>
      </c>
      <c r="G93" s="14" t="s">
        <v>31</v>
      </c>
      <c r="H93" s="6">
        <v>0</v>
      </c>
      <c r="I93" s="6">
        <v>57</v>
      </c>
      <c r="J93" s="6">
        <f t="shared" si="39"/>
        <v>1216</v>
      </c>
      <c r="K93" s="6"/>
      <c r="L93" s="6">
        <v>797</v>
      </c>
      <c r="M93" s="6"/>
      <c r="N93" s="6">
        <v>419</v>
      </c>
      <c r="O93" s="6"/>
      <c r="P93" s="6">
        <v>450</v>
      </c>
      <c r="Q93" s="6">
        <v>31</v>
      </c>
      <c r="R93" s="6">
        <v>0</v>
      </c>
      <c r="S93" s="6">
        <v>0</v>
      </c>
      <c r="T93" s="6">
        <v>0</v>
      </c>
      <c r="U93" s="14" t="s">
        <v>32</v>
      </c>
      <c r="V93" s="14"/>
      <c r="W93" s="6">
        <v>4</v>
      </c>
      <c r="X93" s="6">
        <v>3</v>
      </c>
      <c r="Y93" s="15">
        <f t="shared" si="55"/>
        <v>0.125</v>
      </c>
      <c r="Z93" s="16">
        <f t="shared" si="41"/>
        <v>0.75</v>
      </c>
      <c r="AA93" s="16"/>
      <c r="AB93" s="16"/>
      <c r="AC93" s="13">
        <f t="shared" si="42"/>
        <v>10.333333333333334</v>
      </c>
      <c r="AD93" s="13">
        <f t="shared" si="43"/>
        <v>0</v>
      </c>
      <c r="AE93" s="13">
        <f t="shared" si="44"/>
        <v>405.33333333333331</v>
      </c>
      <c r="AF93" s="12"/>
      <c r="AG93" s="12">
        <f t="shared" si="53"/>
        <v>139.66666666666666</v>
      </c>
      <c r="AH93" s="12">
        <f t="shared" si="45"/>
        <v>0</v>
      </c>
      <c r="AI93" s="12">
        <f t="shared" si="46"/>
        <v>0</v>
      </c>
      <c r="AJ93" s="12">
        <f t="shared" si="47"/>
        <v>0.23123620309050771</v>
      </c>
      <c r="AK93" s="12">
        <f t="shared" si="48"/>
        <v>0</v>
      </c>
      <c r="AL93" s="12">
        <f t="shared" si="49"/>
        <v>0.23123620309050771</v>
      </c>
      <c r="AM93" s="13">
        <f t="shared" si="50"/>
        <v>0</v>
      </c>
      <c r="AN93" s="13">
        <f t="shared" si="51"/>
        <v>150</v>
      </c>
      <c r="AO93" s="13">
        <f t="shared" si="56"/>
        <v>0</v>
      </c>
      <c r="AP93" s="13">
        <f t="shared" si="57"/>
        <v>0</v>
      </c>
      <c r="AQ93" s="12">
        <f t="shared" si="52"/>
        <v>1697</v>
      </c>
      <c r="AR93" s="13">
        <f t="shared" si="58"/>
        <v>565.66666666666663</v>
      </c>
      <c r="AS93" s="17" t="s">
        <v>233</v>
      </c>
    </row>
    <row r="94" spans="1:45" x14ac:dyDescent="0.25">
      <c r="A94" s="22">
        <v>45509</v>
      </c>
      <c r="B94" s="10" t="str">
        <f t="shared" si="37"/>
        <v>2024</v>
      </c>
      <c r="C94" s="10" t="str">
        <f t="shared" si="38"/>
        <v>August</v>
      </c>
      <c r="D94" s="10"/>
      <c r="E94" s="11">
        <v>392</v>
      </c>
      <c r="F94" s="12">
        <f t="shared" si="54"/>
        <v>4704</v>
      </c>
      <c r="G94" s="14" t="s">
        <v>31</v>
      </c>
      <c r="H94" s="6">
        <v>0</v>
      </c>
      <c r="I94" s="6">
        <v>57</v>
      </c>
      <c r="J94" s="6">
        <f t="shared" si="39"/>
        <v>3162</v>
      </c>
      <c r="K94" s="6"/>
      <c r="L94" s="6">
        <v>2125</v>
      </c>
      <c r="M94" s="6"/>
      <c r="N94" s="6">
        <v>1037</v>
      </c>
      <c r="O94" s="6"/>
      <c r="P94" s="6">
        <v>1215</v>
      </c>
      <c r="Q94" s="6">
        <v>81</v>
      </c>
      <c r="R94" s="6">
        <v>0</v>
      </c>
      <c r="S94" s="6">
        <v>0</v>
      </c>
      <c r="T94" s="6">
        <v>0</v>
      </c>
      <c r="U94" s="14" t="s">
        <v>32</v>
      </c>
      <c r="V94" s="14"/>
      <c r="W94" s="6">
        <v>12</v>
      </c>
      <c r="X94" s="6">
        <v>8.1</v>
      </c>
      <c r="Y94" s="15">
        <f t="shared" si="55"/>
        <v>0.11249999999999999</v>
      </c>
      <c r="Z94" s="16">
        <f t="shared" si="41"/>
        <v>0.67499999999999993</v>
      </c>
      <c r="AA94" s="16"/>
      <c r="AB94" s="16"/>
      <c r="AC94" s="13">
        <f t="shared" si="42"/>
        <v>10</v>
      </c>
      <c r="AD94" s="13">
        <f t="shared" si="43"/>
        <v>0</v>
      </c>
      <c r="AE94" s="13">
        <f t="shared" si="44"/>
        <v>390.37037037037038</v>
      </c>
      <c r="AF94" s="12"/>
      <c r="AG94" s="12">
        <f t="shared" si="53"/>
        <v>128.02469135802471</v>
      </c>
      <c r="AH94" s="12">
        <f t="shared" si="45"/>
        <v>0</v>
      </c>
      <c r="AI94" s="12">
        <f t="shared" si="46"/>
        <v>0</v>
      </c>
      <c r="AJ94" s="12">
        <f t="shared" si="47"/>
        <v>0.22045068027210885</v>
      </c>
      <c r="AK94" s="12">
        <f t="shared" si="48"/>
        <v>0</v>
      </c>
      <c r="AL94" s="12">
        <f t="shared" si="49"/>
        <v>0.22045068027210885</v>
      </c>
      <c r="AM94" s="13">
        <f t="shared" si="50"/>
        <v>0</v>
      </c>
      <c r="AN94" s="13">
        <f t="shared" si="51"/>
        <v>150</v>
      </c>
      <c r="AO94" s="13">
        <f t="shared" si="56"/>
        <v>0</v>
      </c>
      <c r="AP94" s="13">
        <f t="shared" si="57"/>
        <v>0</v>
      </c>
      <c r="AQ94" s="12">
        <f t="shared" si="52"/>
        <v>4458</v>
      </c>
      <c r="AR94" s="13">
        <f t="shared" si="58"/>
        <v>550.37037037037044</v>
      </c>
      <c r="AS94" s="17" t="s">
        <v>234</v>
      </c>
    </row>
    <row r="95" spans="1:45" x14ac:dyDescent="0.25">
      <c r="A95" s="22">
        <v>45510</v>
      </c>
      <c r="B95" s="10" t="str">
        <f t="shared" si="37"/>
        <v>2024</v>
      </c>
      <c r="C95" s="10" t="str">
        <f t="shared" si="38"/>
        <v>August</v>
      </c>
      <c r="D95" s="10"/>
      <c r="E95" s="11">
        <v>174</v>
      </c>
      <c r="F95" s="12">
        <f t="shared" si="54"/>
        <v>2088</v>
      </c>
      <c r="G95" s="14" t="s">
        <v>31</v>
      </c>
      <c r="H95" s="6">
        <v>0</v>
      </c>
      <c r="I95" s="6">
        <v>57</v>
      </c>
      <c r="J95" s="6">
        <f t="shared" si="39"/>
        <v>3057</v>
      </c>
      <c r="K95" s="6"/>
      <c r="L95" s="6">
        <v>2064</v>
      </c>
      <c r="M95" s="6"/>
      <c r="N95" s="6">
        <v>993</v>
      </c>
      <c r="O95" s="6"/>
      <c r="P95" s="6">
        <v>525</v>
      </c>
      <c r="Q95" s="6">
        <v>35</v>
      </c>
      <c r="R95" s="6">
        <v>0</v>
      </c>
      <c r="S95" s="6">
        <v>0</v>
      </c>
      <c r="T95" s="6">
        <v>0</v>
      </c>
      <c r="U95" s="14" t="s">
        <v>32</v>
      </c>
      <c r="V95" s="14"/>
      <c r="W95" s="6">
        <v>10</v>
      </c>
      <c r="X95" s="6">
        <v>7</v>
      </c>
      <c r="Y95" s="15">
        <f t="shared" si="55"/>
        <v>0.11666666666666667</v>
      </c>
      <c r="Z95" s="16">
        <f t="shared" si="41"/>
        <v>0.7</v>
      </c>
      <c r="AA95" s="16"/>
      <c r="AB95" s="16"/>
      <c r="AC95" s="13">
        <f t="shared" si="42"/>
        <v>5</v>
      </c>
      <c r="AD95" s="13">
        <f t="shared" si="43"/>
        <v>0</v>
      </c>
      <c r="AE95" s="13">
        <f t="shared" si="44"/>
        <v>436.71428571428572</v>
      </c>
      <c r="AF95" s="12"/>
      <c r="AG95" s="12">
        <f t="shared" si="53"/>
        <v>141.85714285714286</v>
      </c>
      <c r="AH95" s="12">
        <f t="shared" si="45"/>
        <v>0</v>
      </c>
      <c r="AI95" s="12">
        <f t="shared" si="46"/>
        <v>0</v>
      </c>
      <c r="AJ95" s="12">
        <f t="shared" si="47"/>
        <v>0.47557471264367818</v>
      </c>
      <c r="AK95" s="12">
        <f t="shared" si="48"/>
        <v>0</v>
      </c>
      <c r="AL95" s="12">
        <f t="shared" si="49"/>
        <v>0.47557471264367818</v>
      </c>
      <c r="AM95" s="13">
        <f t="shared" si="50"/>
        <v>0</v>
      </c>
      <c r="AN95" s="13">
        <f t="shared" si="51"/>
        <v>75</v>
      </c>
      <c r="AO95" s="13">
        <f t="shared" si="56"/>
        <v>0</v>
      </c>
      <c r="AP95" s="13">
        <f t="shared" si="57"/>
        <v>0</v>
      </c>
      <c r="AQ95" s="12">
        <f t="shared" si="52"/>
        <v>3617</v>
      </c>
      <c r="AR95" s="13">
        <f t="shared" si="58"/>
        <v>516.71428571428578</v>
      </c>
      <c r="AS95" s="17"/>
    </row>
    <row r="96" spans="1:45" x14ac:dyDescent="0.25">
      <c r="A96" s="22">
        <v>45511</v>
      </c>
      <c r="B96" s="10" t="str">
        <f t="shared" si="37"/>
        <v>2024</v>
      </c>
      <c r="C96" s="10" t="str">
        <f t="shared" si="38"/>
        <v>August</v>
      </c>
      <c r="D96" s="10"/>
      <c r="E96" s="11">
        <v>174</v>
      </c>
      <c r="F96" s="12">
        <f t="shared" si="54"/>
        <v>2088</v>
      </c>
      <c r="G96" s="14" t="s">
        <v>31</v>
      </c>
      <c r="H96" s="6">
        <v>0</v>
      </c>
      <c r="I96" s="6">
        <v>57</v>
      </c>
      <c r="J96" s="6">
        <f t="shared" si="39"/>
        <v>3057</v>
      </c>
      <c r="K96" s="6"/>
      <c r="L96" s="6">
        <v>2064</v>
      </c>
      <c r="M96" s="6"/>
      <c r="N96" s="6">
        <v>993</v>
      </c>
      <c r="O96" s="6"/>
      <c r="P96" s="6">
        <v>525</v>
      </c>
      <c r="Q96" s="6">
        <v>35</v>
      </c>
      <c r="R96" s="6">
        <v>0</v>
      </c>
      <c r="S96" s="6">
        <v>0</v>
      </c>
      <c r="T96" s="6">
        <v>0</v>
      </c>
      <c r="U96" s="14" t="s">
        <v>32</v>
      </c>
      <c r="V96" s="14"/>
      <c r="W96" s="6">
        <v>10</v>
      </c>
      <c r="X96" s="6">
        <v>7</v>
      </c>
      <c r="Y96" s="15">
        <f t="shared" si="55"/>
        <v>0.11666666666666667</v>
      </c>
      <c r="Z96" s="16">
        <f t="shared" si="41"/>
        <v>0.7</v>
      </c>
      <c r="AA96" s="16"/>
      <c r="AB96" s="16"/>
      <c r="AC96" s="13">
        <f t="shared" si="42"/>
        <v>5</v>
      </c>
      <c r="AD96" s="13">
        <f t="shared" si="43"/>
        <v>0</v>
      </c>
      <c r="AE96" s="13">
        <f t="shared" si="44"/>
        <v>436.71428571428572</v>
      </c>
      <c r="AF96" s="12"/>
      <c r="AG96" s="12">
        <f t="shared" si="53"/>
        <v>141.85714285714286</v>
      </c>
      <c r="AH96" s="12">
        <f t="shared" si="45"/>
        <v>0</v>
      </c>
      <c r="AI96" s="12">
        <f t="shared" si="46"/>
        <v>0</v>
      </c>
      <c r="AJ96" s="12">
        <f t="shared" si="47"/>
        <v>0.47557471264367818</v>
      </c>
      <c r="AK96" s="12">
        <f t="shared" si="48"/>
        <v>0</v>
      </c>
      <c r="AL96" s="12">
        <f t="shared" si="49"/>
        <v>0.47557471264367818</v>
      </c>
      <c r="AM96" s="13">
        <f t="shared" si="50"/>
        <v>0</v>
      </c>
      <c r="AN96" s="13">
        <f t="shared" si="51"/>
        <v>75</v>
      </c>
      <c r="AO96" s="13">
        <f t="shared" si="56"/>
        <v>0</v>
      </c>
      <c r="AP96" s="13">
        <f t="shared" si="57"/>
        <v>0</v>
      </c>
      <c r="AQ96" s="12">
        <f t="shared" si="52"/>
        <v>3617</v>
      </c>
      <c r="AR96" s="13">
        <f t="shared" si="58"/>
        <v>516.71428571428578</v>
      </c>
      <c r="AS96" s="17" t="s">
        <v>235</v>
      </c>
    </row>
    <row r="97" spans="1:45" x14ac:dyDescent="0.25">
      <c r="A97" s="22">
        <v>45513</v>
      </c>
      <c r="B97" s="10" t="str">
        <f t="shared" si="37"/>
        <v>2024</v>
      </c>
      <c r="C97" s="10" t="str">
        <f t="shared" si="38"/>
        <v>August</v>
      </c>
      <c r="D97" s="10"/>
      <c r="E97" s="11">
        <v>301</v>
      </c>
      <c r="F97" s="12">
        <f t="shared" si="54"/>
        <v>3612</v>
      </c>
      <c r="G97" s="14" t="s">
        <v>31</v>
      </c>
      <c r="H97" s="6">
        <v>0</v>
      </c>
      <c r="I97" s="6">
        <v>57</v>
      </c>
      <c r="J97" s="6">
        <f t="shared" si="39"/>
        <v>2474</v>
      </c>
      <c r="K97" s="6"/>
      <c r="L97" s="6">
        <v>1709</v>
      </c>
      <c r="M97" s="6"/>
      <c r="N97" s="6">
        <v>765</v>
      </c>
      <c r="O97" s="6"/>
      <c r="P97" s="6">
        <v>990</v>
      </c>
      <c r="Q97" s="6">
        <v>66</v>
      </c>
      <c r="R97" s="6">
        <v>0</v>
      </c>
      <c r="S97" s="6">
        <v>0</v>
      </c>
      <c r="T97" s="6">
        <v>0</v>
      </c>
      <c r="U97" s="14" t="s">
        <v>32</v>
      </c>
      <c r="V97" s="14"/>
      <c r="W97" s="6">
        <v>10</v>
      </c>
      <c r="X97" s="6">
        <v>6.6</v>
      </c>
      <c r="Y97" s="15">
        <f t="shared" si="55"/>
        <v>0.11</v>
      </c>
      <c r="Z97" s="16">
        <f t="shared" si="41"/>
        <v>0.65999999999999992</v>
      </c>
      <c r="AA97" s="16"/>
      <c r="AB97" s="16"/>
      <c r="AC97" s="13">
        <f t="shared" si="42"/>
        <v>10</v>
      </c>
      <c r="AD97" s="13">
        <f t="shared" si="43"/>
        <v>0</v>
      </c>
      <c r="AE97" s="13">
        <f t="shared" si="44"/>
        <v>374.84848484848487</v>
      </c>
      <c r="AF97" s="12"/>
      <c r="AG97" s="12">
        <f t="shared" si="53"/>
        <v>115.90909090909092</v>
      </c>
      <c r="AH97" s="12">
        <f t="shared" si="45"/>
        <v>0</v>
      </c>
      <c r="AI97" s="12">
        <f t="shared" si="46"/>
        <v>0</v>
      </c>
      <c r="AJ97" s="12">
        <f t="shared" si="47"/>
        <v>0.21179401993355482</v>
      </c>
      <c r="AK97" s="12">
        <f t="shared" si="48"/>
        <v>0</v>
      </c>
      <c r="AL97" s="12">
        <f t="shared" si="49"/>
        <v>0.21179401993355482</v>
      </c>
      <c r="AM97" s="13">
        <f t="shared" si="50"/>
        <v>0</v>
      </c>
      <c r="AN97" s="13">
        <f t="shared" si="51"/>
        <v>150</v>
      </c>
      <c r="AO97" s="13">
        <f t="shared" si="56"/>
        <v>0</v>
      </c>
      <c r="AP97" s="13">
        <f t="shared" si="57"/>
        <v>0</v>
      </c>
      <c r="AQ97" s="12">
        <f t="shared" si="52"/>
        <v>3530</v>
      </c>
      <c r="AR97" s="13">
        <f t="shared" si="58"/>
        <v>534.84848484848487</v>
      </c>
      <c r="AS97" s="17" t="s">
        <v>236</v>
      </c>
    </row>
    <row r="98" spans="1:45" x14ac:dyDescent="0.25">
      <c r="A98" s="22">
        <v>45517</v>
      </c>
      <c r="B98" s="10" t="str">
        <f t="shared" ref="B98:B129" si="59">TEXT(A98,"YYYY")</f>
        <v>2024</v>
      </c>
      <c r="C98" s="10" t="str">
        <f t="shared" ref="C98:C129" si="60">TEXT(A98,"MMMM")</f>
        <v>August</v>
      </c>
      <c r="D98" s="10"/>
      <c r="E98" s="11">
        <v>286</v>
      </c>
      <c r="F98" s="12">
        <f t="shared" si="54"/>
        <v>3432</v>
      </c>
      <c r="G98" s="14" t="s">
        <v>31</v>
      </c>
      <c r="H98" s="6">
        <v>0</v>
      </c>
      <c r="I98" s="6">
        <v>57</v>
      </c>
      <c r="J98" s="6">
        <f t="shared" ref="J98:J129" si="61">L98+N98</f>
        <v>2246</v>
      </c>
      <c r="K98" s="6"/>
      <c r="L98" s="6">
        <v>1464</v>
      </c>
      <c r="M98" s="6"/>
      <c r="N98" s="6">
        <v>782</v>
      </c>
      <c r="O98" s="6"/>
      <c r="P98" s="6">
        <v>930</v>
      </c>
      <c r="Q98" s="6">
        <v>62</v>
      </c>
      <c r="R98" s="6">
        <v>0</v>
      </c>
      <c r="S98" s="6">
        <v>0</v>
      </c>
      <c r="T98" s="6">
        <v>0</v>
      </c>
      <c r="U98" s="14" t="s">
        <v>32</v>
      </c>
      <c r="V98" s="14"/>
      <c r="W98" s="6">
        <v>10</v>
      </c>
      <c r="X98" s="6">
        <v>6.2</v>
      </c>
      <c r="Y98" s="15">
        <f t="shared" si="55"/>
        <v>0.10333333333333333</v>
      </c>
      <c r="Z98" s="16">
        <f t="shared" ref="Z98:Z129" si="62">X98/W98</f>
        <v>0.62</v>
      </c>
      <c r="AA98" s="16"/>
      <c r="AB98" s="16"/>
      <c r="AC98" s="13">
        <f t="shared" ref="AC98:AC129" si="63">Q98/X98</f>
        <v>10</v>
      </c>
      <c r="AD98" s="13">
        <f t="shared" ref="AD98:AD129" si="64">H98/X98</f>
        <v>0</v>
      </c>
      <c r="AE98" s="13">
        <f t="shared" ref="AE98:AE129" si="65">J98/X98</f>
        <v>362.25806451612902</v>
      </c>
      <c r="AF98" s="12"/>
      <c r="AG98" s="12">
        <f t="shared" si="53"/>
        <v>126.12903225806451</v>
      </c>
      <c r="AH98" s="12">
        <f t="shared" si="45"/>
        <v>0</v>
      </c>
      <c r="AI98" s="12">
        <f t="shared" si="46"/>
        <v>0</v>
      </c>
      <c r="AJ98" s="12">
        <f t="shared" si="47"/>
        <v>0.22785547785547786</v>
      </c>
      <c r="AK98" s="12">
        <f t="shared" si="48"/>
        <v>0</v>
      </c>
      <c r="AL98" s="12">
        <f t="shared" si="49"/>
        <v>0.22785547785547786</v>
      </c>
      <c r="AM98" s="13">
        <f t="shared" ref="AM98:AM129" si="66">R98/X98</f>
        <v>0</v>
      </c>
      <c r="AN98" s="13">
        <f t="shared" ref="AN98:AN129" si="67">P98/X98</f>
        <v>150</v>
      </c>
      <c r="AO98" s="13">
        <f t="shared" si="56"/>
        <v>0</v>
      </c>
      <c r="AP98" s="13">
        <f t="shared" si="57"/>
        <v>0</v>
      </c>
      <c r="AQ98" s="12">
        <f t="shared" ref="AQ98:AQ129" si="68">R98+Q98+P98+J98+H98</f>
        <v>3238</v>
      </c>
      <c r="AR98" s="13">
        <f t="shared" si="58"/>
        <v>522.25806451612902</v>
      </c>
      <c r="AS98" s="17" t="s">
        <v>237</v>
      </c>
    </row>
    <row r="99" spans="1:45" x14ac:dyDescent="0.25">
      <c r="A99" s="22">
        <v>45518</v>
      </c>
      <c r="B99" s="10" t="str">
        <f t="shared" si="59"/>
        <v>2024</v>
      </c>
      <c r="C99" s="10" t="str">
        <f t="shared" si="60"/>
        <v>August</v>
      </c>
      <c r="D99" s="10"/>
      <c r="E99" s="11">
        <v>506</v>
      </c>
      <c r="F99" s="12">
        <f t="shared" si="54"/>
        <v>6072</v>
      </c>
      <c r="G99" s="14" t="s">
        <v>31</v>
      </c>
      <c r="H99" s="6">
        <v>0</v>
      </c>
      <c r="I99" s="6">
        <v>57</v>
      </c>
      <c r="J99" s="6">
        <f t="shared" si="61"/>
        <v>3267</v>
      </c>
      <c r="K99" s="6"/>
      <c r="L99" s="6">
        <v>2504</v>
      </c>
      <c r="M99" s="6"/>
      <c r="N99" s="6">
        <v>763</v>
      </c>
      <c r="O99" s="6"/>
      <c r="P99" s="6">
        <v>1500</v>
      </c>
      <c r="Q99" s="6">
        <v>150</v>
      </c>
      <c r="R99" s="6">
        <v>978</v>
      </c>
      <c r="S99" s="6">
        <v>0</v>
      </c>
      <c r="T99" s="6">
        <v>0</v>
      </c>
      <c r="U99" s="14" t="s">
        <v>32</v>
      </c>
      <c r="V99" s="14"/>
      <c r="W99" s="6">
        <v>12</v>
      </c>
      <c r="X99" s="6">
        <v>10</v>
      </c>
      <c r="Y99" s="15">
        <f t="shared" si="55"/>
        <v>0.1388888888888889</v>
      </c>
      <c r="Z99" s="16">
        <f t="shared" si="62"/>
        <v>0.83333333333333337</v>
      </c>
      <c r="AA99" s="16"/>
      <c r="AB99" s="16"/>
      <c r="AC99" s="13">
        <f t="shared" si="63"/>
        <v>15</v>
      </c>
      <c r="AD99" s="13">
        <f t="shared" si="64"/>
        <v>0</v>
      </c>
      <c r="AE99" s="13">
        <f t="shared" si="65"/>
        <v>326.7</v>
      </c>
      <c r="AF99" s="12"/>
      <c r="AG99" s="12">
        <f t="shared" si="53"/>
        <v>76.3</v>
      </c>
      <c r="AH99" s="12">
        <f t="shared" si="45"/>
        <v>0</v>
      </c>
      <c r="AI99" s="12">
        <f t="shared" si="46"/>
        <v>0</v>
      </c>
      <c r="AJ99" s="12">
        <f t="shared" si="47"/>
        <v>0.12565876152832675</v>
      </c>
      <c r="AK99" s="12">
        <f t="shared" si="48"/>
        <v>0</v>
      </c>
      <c r="AL99" s="12">
        <f t="shared" si="49"/>
        <v>0.12565876152832675</v>
      </c>
      <c r="AM99" s="13">
        <f t="shared" si="66"/>
        <v>97.8</v>
      </c>
      <c r="AN99" s="13">
        <f t="shared" si="67"/>
        <v>150</v>
      </c>
      <c r="AO99" s="13">
        <f t="shared" si="56"/>
        <v>0</v>
      </c>
      <c r="AP99" s="13">
        <f t="shared" si="57"/>
        <v>0</v>
      </c>
      <c r="AQ99" s="12">
        <f t="shared" si="68"/>
        <v>5895</v>
      </c>
      <c r="AR99" s="13">
        <f t="shared" si="58"/>
        <v>589.5</v>
      </c>
      <c r="AS99" s="17" t="s">
        <v>238</v>
      </c>
    </row>
    <row r="100" spans="1:45" x14ac:dyDescent="0.25">
      <c r="A100" s="22">
        <v>45520</v>
      </c>
      <c r="B100" s="10" t="str">
        <f t="shared" si="59"/>
        <v>2024</v>
      </c>
      <c r="C100" s="10" t="str">
        <f t="shared" si="60"/>
        <v>August</v>
      </c>
      <c r="D100" s="10"/>
      <c r="E100" s="11">
        <v>292</v>
      </c>
      <c r="F100" s="12">
        <f t="shared" ref="F100:F131" si="69">E100*12</f>
        <v>3504</v>
      </c>
      <c r="G100" s="14" t="s">
        <v>31</v>
      </c>
      <c r="H100" s="6">
        <v>0</v>
      </c>
      <c r="I100" s="6">
        <v>57</v>
      </c>
      <c r="J100" s="6">
        <f t="shared" si="61"/>
        <v>2510</v>
      </c>
      <c r="K100" s="6"/>
      <c r="L100" s="6">
        <v>1718</v>
      </c>
      <c r="M100" s="6"/>
      <c r="N100" s="6">
        <v>792</v>
      </c>
      <c r="O100" s="6"/>
      <c r="P100" s="6">
        <v>1080</v>
      </c>
      <c r="Q100" s="6">
        <v>72</v>
      </c>
      <c r="R100" s="6">
        <v>0</v>
      </c>
      <c r="S100" s="6">
        <v>0</v>
      </c>
      <c r="T100" s="6">
        <v>0</v>
      </c>
      <c r="U100" s="14" t="s">
        <v>32</v>
      </c>
      <c r="V100" s="14"/>
      <c r="W100" s="6">
        <v>12</v>
      </c>
      <c r="X100" s="6">
        <v>7.2</v>
      </c>
      <c r="Y100" s="15">
        <f t="shared" si="55"/>
        <v>0.1</v>
      </c>
      <c r="Z100" s="16">
        <f t="shared" si="62"/>
        <v>0.6</v>
      </c>
      <c r="AA100" s="16"/>
      <c r="AB100" s="16"/>
      <c r="AC100" s="13">
        <f t="shared" si="63"/>
        <v>10</v>
      </c>
      <c r="AD100" s="13">
        <f t="shared" si="64"/>
        <v>0</v>
      </c>
      <c r="AE100" s="13">
        <f t="shared" si="65"/>
        <v>348.61111111111109</v>
      </c>
      <c r="AF100" s="12"/>
      <c r="AG100" s="12">
        <f t="shared" si="53"/>
        <v>110</v>
      </c>
      <c r="AH100" s="12">
        <f t="shared" si="45"/>
        <v>0</v>
      </c>
      <c r="AI100" s="12">
        <f t="shared" si="46"/>
        <v>0</v>
      </c>
      <c r="AJ100" s="12">
        <f t="shared" si="47"/>
        <v>0.22602739726027396</v>
      </c>
      <c r="AK100" s="12">
        <f t="shared" si="48"/>
        <v>0</v>
      </c>
      <c r="AL100" s="12">
        <f t="shared" si="49"/>
        <v>0.22602739726027396</v>
      </c>
      <c r="AM100" s="13">
        <f t="shared" si="66"/>
        <v>0</v>
      </c>
      <c r="AN100" s="13">
        <f t="shared" si="67"/>
        <v>150</v>
      </c>
      <c r="AO100" s="13">
        <f t="shared" si="56"/>
        <v>0</v>
      </c>
      <c r="AP100" s="13">
        <f t="shared" si="57"/>
        <v>0</v>
      </c>
      <c r="AQ100" s="12">
        <f t="shared" si="68"/>
        <v>3662</v>
      </c>
      <c r="AR100" s="13">
        <f t="shared" si="58"/>
        <v>508.61111111111109</v>
      </c>
      <c r="AS100" s="17" t="s">
        <v>239</v>
      </c>
    </row>
    <row r="101" spans="1:45" x14ac:dyDescent="0.25">
      <c r="A101" s="22">
        <v>45524</v>
      </c>
      <c r="B101" s="10" t="str">
        <f t="shared" si="59"/>
        <v>2024</v>
      </c>
      <c r="C101" s="10" t="str">
        <f t="shared" si="60"/>
        <v>August</v>
      </c>
      <c r="D101" s="10"/>
      <c r="E101" s="11">
        <v>261</v>
      </c>
      <c r="F101" s="12">
        <f t="shared" si="69"/>
        <v>3132</v>
      </c>
      <c r="G101" s="14" t="s">
        <v>31</v>
      </c>
      <c r="H101" s="6">
        <v>0</v>
      </c>
      <c r="I101" s="6">
        <v>57</v>
      </c>
      <c r="J101" s="6">
        <f t="shared" si="61"/>
        <v>2046</v>
      </c>
      <c r="K101" s="6"/>
      <c r="L101" s="6">
        <v>1427</v>
      </c>
      <c r="M101" s="6"/>
      <c r="N101" s="6">
        <v>619</v>
      </c>
      <c r="O101" s="6"/>
      <c r="P101" s="6">
        <v>945</v>
      </c>
      <c r="Q101" s="6">
        <v>63</v>
      </c>
      <c r="R101" s="6">
        <v>0</v>
      </c>
      <c r="S101" s="6">
        <v>0</v>
      </c>
      <c r="T101" s="6">
        <v>0</v>
      </c>
      <c r="U101" s="14" t="s">
        <v>32</v>
      </c>
      <c r="V101" s="14"/>
      <c r="W101" s="6">
        <v>10</v>
      </c>
      <c r="X101" s="6">
        <v>6.3</v>
      </c>
      <c r="Y101" s="15">
        <f t="shared" si="55"/>
        <v>0.105</v>
      </c>
      <c r="Z101" s="16">
        <f t="shared" si="62"/>
        <v>0.63</v>
      </c>
      <c r="AA101" s="16"/>
      <c r="AB101" s="16"/>
      <c r="AC101" s="13">
        <f t="shared" si="63"/>
        <v>10</v>
      </c>
      <c r="AD101" s="13">
        <f t="shared" si="64"/>
        <v>0</v>
      </c>
      <c r="AE101" s="13">
        <f t="shared" si="65"/>
        <v>324.76190476190476</v>
      </c>
      <c r="AF101" s="12"/>
      <c r="AG101" s="12">
        <f t="shared" si="53"/>
        <v>98.253968253968253</v>
      </c>
      <c r="AH101" s="12">
        <f t="shared" si="45"/>
        <v>0</v>
      </c>
      <c r="AI101" s="12">
        <f t="shared" si="46"/>
        <v>0</v>
      </c>
      <c r="AJ101" s="12">
        <f t="shared" si="47"/>
        <v>0.19763729246487868</v>
      </c>
      <c r="AK101" s="12">
        <f t="shared" si="48"/>
        <v>0</v>
      </c>
      <c r="AL101" s="12">
        <f t="shared" si="49"/>
        <v>0.19763729246487868</v>
      </c>
      <c r="AM101" s="13">
        <f t="shared" si="66"/>
        <v>0</v>
      </c>
      <c r="AN101" s="13">
        <f t="shared" si="67"/>
        <v>150</v>
      </c>
      <c r="AO101" s="13">
        <f t="shared" si="56"/>
        <v>0</v>
      </c>
      <c r="AP101" s="13">
        <f t="shared" si="57"/>
        <v>0</v>
      </c>
      <c r="AQ101" s="12">
        <f t="shared" si="68"/>
        <v>3054</v>
      </c>
      <c r="AR101" s="13">
        <f t="shared" si="58"/>
        <v>484.76190476190476</v>
      </c>
      <c r="AS101" s="17" t="s">
        <v>240</v>
      </c>
    </row>
    <row r="102" spans="1:45" x14ac:dyDescent="0.25">
      <c r="A102" s="22">
        <v>45525</v>
      </c>
      <c r="B102" s="10" t="str">
        <f t="shared" si="59"/>
        <v>2024</v>
      </c>
      <c r="C102" s="10" t="str">
        <f t="shared" si="60"/>
        <v>August</v>
      </c>
      <c r="D102" s="10"/>
      <c r="E102" s="11">
        <v>341</v>
      </c>
      <c r="F102" s="12">
        <f t="shared" si="69"/>
        <v>4092</v>
      </c>
      <c r="G102" s="14" t="s">
        <v>31</v>
      </c>
      <c r="H102" s="6">
        <v>0</v>
      </c>
      <c r="I102" s="6">
        <v>57</v>
      </c>
      <c r="J102" s="6">
        <f t="shared" si="61"/>
        <v>2705</v>
      </c>
      <c r="K102" s="6"/>
      <c r="L102" s="6">
        <v>1805</v>
      </c>
      <c r="M102" s="6"/>
      <c r="N102" s="6">
        <v>900</v>
      </c>
      <c r="O102" s="6"/>
      <c r="P102" s="6">
        <v>1260</v>
      </c>
      <c r="Q102" s="6">
        <v>84</v>
      </c>
      <c r="R102" s="6">
        <v>0</v>
      </c>
      <c r="S102" s="6">
        <v>0</v>
      </c>
      <c r="T102" s="6">
        <v>0</v>
      </c>
      <c r="U102" s="14" t="s">
        <v>32</v>
      </c>
      <c r="V102" s="14"/>
      <c r="W102" s="6">
        <v>10</v>
      </c>
      <c r="X102" s="6">
        <v>8.4</v>
      </c>
      <c r="Y102" s="15">
        <f t="shared" si="55"/>
        <v>0.14000000000000001</v>
      </c>
      <c r="Z102" s="16">
        <f t="shared" si="62"/>
        <v>0.84000000000000008</v>
      </c>
      <c r="AA102" s="16"/>
      <c r="AB102" s="16"/>
      <c r="AC102" s="13">
        <f t="shared" si="63"/>
        <v>10</v>
      </c>
      <c r="AD102" s="13">
        <f t="shared" si="64"/>
        <v>0</v>
      </c>
      <c r="AE102" s="13">
        <f t="shared" si="65"/>
        <v>322.02380952380952</v>
      </c>
      <c r="AF102" s="12"/>
      <c r="AG102" s="12">
        <f t="shared" si="53"/>
        <v>107.14285714285714</v>
      </c>
      <c r="AH102" s="12">
        <f t="shared" si="45"/>
        <v>0</v>
      </c>
      <c r="AI102" s="12">
        <f t="shared" si="46"/>
        <v>0</v>
      </c>
      <c r="AJ102" s="12">
        <f t="shared" si="47"/>
        <v>0.21994134897360704</v>
      </c>
      <c r="AK102" s="12">
        <f t="shared" si="48"/>
        <v>0</v>
      </c>
      <c r="AL102" s="12">
        <f t="shared" si="49"/>
        <v>0.21994134897360704</v>
      </c>
      <c r="AM102" s="13">
        <f t="shared" si="66"/>
        <v>0</v>
      </c>
      <c r="AN102" s="13">
        <f t="shared" si="67"/>
        <v>150</v>
      </c>
      <c r="AO102" s="13">
        <f t="shared" si="56"/>
        <v>0</v>
      </c>
      <c r="AP102" s="13">
        <f t="shared" si="57"/>
        <v>0</v>
      </c>
      <c r="AQ102" s="12">
        <f t="shared" si="68"/>
        <v>4049</v>
      </c>
      <c r="AR102" s="13">
        <f t="shared" si="58"/>
        <v>482.02380952380952</v>
      </c>
      <c r="AS102" s="17" t="s">
        <v>241</v>
      </c>
    </row>
    <row r="103" spans="1:45" x14ac:dyDescent="0.25">
      <c r="A103" s="22">
        <v>45527</v>
      </c>
      <c r="B103" s="10" t="str">
        <f t="shared" si="59"/>
        <v>2024</v>
      </c>
      <c r="C103" s="10" t="str">
        <f t="shared" si="60"/>
        <v>August</v>
      </c>
      <c r="D103" s="10"/>
      <c r="E103" s="11">
        <v>184</v>
      </c>
      <c r="F103" s="12">
        <f t="shared" si="69"/>
        <v>2208</v>
      </c>
      <c r="G103" s="14" t="s">
        <v>31</v>
      </c>
      <c r="H103" s="6">
        <v>0</v>
      </c>
      <c r="I103" s="6">
        <v>57</v>
      </c>
      <c r="J103" s="6">
        <f t="shared" si="61"/>
        <v>1360</v>
      </c>
      <c r="K103" s="6"/>
      <c r="L103" s="6">
        <v>964</v>
      </c>
      <c r="M103" s="6"/>
      <c r="N103" s="6">
        <v>396</v>
      </c>
      <c r="O103" s="6"/>
      <c r="P103" s="6">
        <v>420</v>
      </c>
      <c r="Q103" s="6">
        <v>28</v>
      </c>
      <c r="R103" s="6">
        <v>0</v>
      </c>
      <c r="S103" s="6">
        <v>0</v>
      </c>
      <c r="T103" s="6">
        <v>0</v>
      </c>
      <c r="U103" s="14" t="s">
        <v>32</v>
      </c>
      <c r="V103" s="14"/>
      <c r="W103" s="6">
        <v>10</v>
      </c>
      <c r="X103" s="6">
        <v>2.8</v>
      </c>
      <c r="Y103" s="15">
        <f t="shared" ref="Y103:Y134" si="70">SUM(X103)/(W103*X$2)</f>
        <v>4.6666666666666662E-2</v>
      </c>
      <c r="Z103" s="16">
        <f t="shared" si="62"/>
        <v>0.27999999999999997</v>
      </c>
      <c r="AA103" s="16"/>
      <c r="AB103" s="16"/>
      <c r="AC103" s="13">
        <f t="shared" si="63"/>
        <v>10</v>
      </c>
      <c r="AD103" s="13">
        <f t="shared" si="64"/>
        <v>0</v>
      </c>
      <c r="AE103" s="13">
        <f t="shared" si="65"/>
        <v>485.71428571428572</v>
      </c>
      <c r="AF103" s="12"/>
      <c r="AG103" s="12">
        <f t="shared" si="53"/>
        <v>141.42857142857144</v>
      </c>
      <c r="AH103" s="12">
        <f t="shared" si="45"/>
        <v>0</v>
      </c>
      <c r="AI103" s="12">
        <f t="shared" si="46"/>
        <v>0</v>
      </c>
      <c r="AJ103" s="12">
        <f t="shared" si="47"/>
        <v>0.17934782608695651</v>
      </c>
      <c r="AK103" s="12">
        <f t="shared" si="48"/>
        <v>0</v>
      </c>
      <c r="AL103" s="12">
        <f t="shared" si="49"/>
        <v>0.17934782608695651</v>
      </c>
      <c r="AM103" s="13">
        <f t="shared" si="66"/>
        <v>0</v>
      </c>
      <c r="AN103" s="13">
        <f t="shared" si="67"/>
        <v>150</v>
      </c>
      <c r="AO103" s="13">
        <f t="shared" si="56"/>
        <v>0</v>
      </c>
      <c r="AP103" s="13">
        <f t="shared" si="57"/>
        <v>0</v>
      </c>
      <c r="AQ103" s="12">
        <f t="shared" si="68"/>
        <v>1808</v>
      </c>
      <c r="AR103" s="13">
        <f t="shared" si="58"/>
        <v>645.71428571428578</v>
      </c>
      <c r="AS103" s="17" t="s">
        <v>242</v>
      </c>
    </row>
    <row r="104" spans="1:45" x14ac:dyDescent="0.25">
      <c r="A104" s="22">
        <v>45528</v>
      </c>
      <c r="B104" s="10" t="str">
        <f t="shared" si="59"/>
        <v>2024</v>
      </c>
      <c r="C104" s="10" t="str">
        <f t="shared" si="60"/>
        <v>August</v>
      </c>
      <c r="D104" s="10"/>
      <c r="E104" s="11">
        <v>347</v>
      </c>
      <c r="F104" s="12">
        <f t="shared" si="69"/>
        <v>4164</v>
      </c>
      <c r="G104" s="14" t="s">
        <v>31</v>
      </c>
      <c r="H104" s="6">
        <v>0</v>
      </c>
      <c r="I104" s="6">
        <v>57</v>
      </c>
      <c r="J104" s="6">
        <f t="shared" si="61"/>
        <v>2957</v>
      </c>
      <c r="K104" s="6"/>
      <c r="L104" s="6">
        <v>2017</v>
      </c>
      <c r="M104" s="6"/>
      <c r="N104" s="6">
        <v>940</v>
      </c>
      <c r="O104" s="6"/>
      <c r="P104" s="6">
        <v>1220</v>
      </c>
      <c r="Q104" s="6">
        <v>61</v>
      </c>
      <c r="R104" s="6">
        <v>0</v>
      </c>
      <c r="S104" s="6">
        <v>0</v>
      </c>
      <c r="T104" s="6">
        <v>0</v>
      </c>
      <c r="U104" s="14" t="s">
        <v>32</v>
      </c>
      <c r="V104" s="14"/>
      <c r="W104" s="6">
        <v>8</v>
      </c>
      <c r="X104" s="6">
        <v>6.1</v>
      </c>
      <c r="Y104" s="15">
        <f t="shared" si="70"/>
        <v>0.12708333333333333</v>
      </c>
      <c r="Z104" s="16">
        <f t="shared" si="62"/>
        <v>0.76249999999999996</v>
      </c>
      <c r="AA104" s="16"/>
      <c r="AB104" s="16"/>
      <c r="AC104" s="13">
        <f t="shared" si="63"/>
        <v>10</v>
      </c>
      <c r="AD104" s="13">
        <f t="shared" si="64"/>
        <v>0</v>
      </c>
      <c r="AE104" s="13">
        <f t="shared" si="65"/>
        <v>484.75409836065575</v>
      </c>
      <c r="AF104" s="12"/>
      <c r="AG104" s="12">
        <f t="shared" si="53"/>
        <v>154.09836065573771</v>
      </c>
      <c r="AH104" s="12">
        <f t="shared" si="45"/>
        <v>0</v>
      </c>
      <c r="AI104" s="12">
        <f t="shared" si="46"/>
        <v>0</v>
      </c>
      <c r="AJ104" s="12">
        <f t="shared" si="47"/>
        <v>0.22574447646493756</v>
      </c>
      <c r="AK104" s="12">
        <f t="shared" si="48"/>
        <v>0</v>
      </c>
      <c r="AL104" s="12">
        <f t="shared" si="49"/>
        <v>0.22574447646493756</v>
      </c>
      <c r="AM104" s="13">
        <f t="shared" si="66"/>
        <v>0</v>
      </c>
      <c r="AN104" s="13">
        <f t="shared" si="67"/>
        <v>200</v>
      </c>
      <c r="AO104" s="13">
        <f t="shared" si="56"/>
        <v>0</v>
      </c>
      <c r="AP104" s="13">
        <f t="shared" si="57"/>
        <v>0</v>
      </c>
      <c r="AQ104" s="12">
        <f t="shared" si="68"/>
        <v>4238</v>
      </c>
      <c r="AR104" s="13">
        <f t="shared" si="58"/>
        <v>694.75409836065569</v>
      </c>
      <c r="AS104" s="17" t="s">
        <v>243</v>
      </c>
    </row>
    <row r="105" spans="1:45" x14ac:dyDescent="0.25">
      <c r="A105" s="22">
        <v>45531</v>
      </c>
      <c r="B105" s="10" t="str">
        <f t="shared" si="59"/>
        <v>2024</v>
      </c>
      <c r="C105" s="10" t="str">
        <f t="shared" si="60"/>
        <v>August</v>
      </c>
      <c r="D105" s="10"/>
      <c r="E105" s="11">
        <v>433</v>
      </c>
      <c r="F105" s="12">
        <f t="shared" si="69"/>
        <v>5196</v>
      </c>
      <c r="G105" s="14" t="s">
        <v>31</v>
      </c>
      <c r="H105" s="6">
        <v>0</v>
      </c>
      <c r="I105" s="6">
        <v>57</v>
      </c>
      <c r="J105" s="6">
        <f t="shared" si="61"/>
        <v>3546</v>
      </c>
      <c r="K105" s="6"/>
      <c r="L105" s="6">
        <v>2429</v>
      </c>
      <c r="M105" s="6"/>
      <c r="N105" s="6">
        <v>1117</v>
      </c>
      <c r="O105" s="6"/>
      <c r="P105" s="6">
        <v>1560</v>
      </c>
      <c r="Q105" s="6">
        <v>78</v>
      </c>
      <c r="R105" s="6">
        <v>0</v>
      </c>
      <c r="S105" s="6">
        <v>0</v>
      </c>
      <c r="T105" s="6">
        <v>0</v>
      </c>
      <c r="U105" s="14" t="s">
        <v>32</v>
      </c>
      <c r="V105" s="14"/>
      <c r="W105" s="6">
        <v>10</v>
      </c>
      <c r="X105" s="6">
        <v>7.8</v>
      </c>
      <c r="Y105" s="15">
        <f t="shared" si="70"/>
        <v>0.13</v>
      </c>
      <c r="Z105" s="16">
        <f t="shared" si="62"/>
        <v>0.78</v>
      </c>
      <c r="AA105" s="16"/>
      <c r="AB105" s="16"/>
      <c r="AC105" s="13">
        <f t="shared" si="63"/>
        <v>10</v>
      </c>
      <c r="AD105" s="13">
        <f t="shared" si="64"/>
        <v>0</v>
      </c>
      <c r="AE105" s="13">
        <f t="shared" si="65"/>
        <v>454.61538461538464</v>
      </c>
      <c r="AF105" s="12"/>
      <c r="AG105" s="12">
        <f t="shared" si="53"/>
        <v>143.2051282051282</v>
      </c>
      <c r="AH105" s="12">
        <f t="shared" si="45"/>
        <v>0</v>
      </c>
      <c r="AI105" s="12">
        <f t="shared" si="46"/>
        <v>0</v>
      </c>
      <c r="AJ105" s="12">
        <f t="shared" si="47"/>
        <v>0.21497305619707469</v>
      </c>
      <c r="AK105" s="12">
        <f t="shared" si="48"/>
        <v>0</v>
      </c>
      <c r="AL105" s="12">
        <f t="shared" si="49"/>
        <v>0.21497305619707469</v>
      </c>
      <c r="AM105" s="13">
        <f t="shared" si="66"/>
        <v>0</v>
      </c>
      <c r="AN105" s="13">
        <f t="shared" si="67"/>
        <v>200</v>
      </c>
      <c r="AO105" s="13">
        <f t="shared" si="56"/>
        <v>0</v>
      </c>
      <c r="AP105" s="13">
        <f t="shared" si="57"/>
        <v>0</v>
      </c>
      <c r="AQ105" s="12">
        <f t="shared" si="68"/>
        <v>5184</v>
      </c>
      <c r="AR105" s="13">
        <f t="shared" si="58"/>
        <v>664.61538461538464</v>
      </c>
      <c r="AS105" s="17" t="s">
        <v>244</v>
      </c>
    </row>
    <row r="106" spans="1:45" x14ac:dyDescent="0.25">
      <c r="A106" s="22">
        <v>45534</v>
      </c>
      <c r="B106" s="10" t="str">
        <f t="shared" si="59"/>
        <v>2024</v>
      </c>
      <c r="C106" s="10" t="str">
        <f t="shared" si="60"/>
        <v>August</v>
      </c>
      <c r="D106" s="10"/>
      <c r="E106" s="11">
        <v>401</v>
      </c>
      <c r="F106" s="12">
        <f t="shared" si="69"/>
        <v>4812</v>
      </c>
      <c r="G106" s="14" t="s">
        <v>31</v>
      </c>
      <c r="H106" s="6">
        <v>0</v>
      </c>
      <c r="I106" s="6">
        <v>57</v>
      </c>
      <c r="J106" s="6">
        <f t="shared" si="61"/>
        <v>3348</v>
      </c>
      <c r="K106" s="6"/>
      <c r="L106" s="6">
        <v>2340</v>
      </c>
      <c r="M106" s="6"/>
      <c r="N106" s="6">
        <v>1008</v>
      </c>
      <c r="O106" s="6"/>
      <c r="P106" s="6">
        <v>1440</v>
      </c>
      <c r="Q106" s="6">
        <v>72</v>
      </c>
      <c r="R106" s="6">
        <v>0</v>
      </c>
      <c r="S106" s="6">
        <v>0</v>
      </c>
      <c r="T106" s="6">
        <v>0</v>
      </c>
      <c r="U106" s="14" t="s">
        <v>32</v>
      </c>
      <c r="V106" s="14"/>
      <c r="W106" s="6">
        <v>10</v>
      </c>
      <c r="X106" s="6">
        <v>7.2</v>
      </c>
      <c r="Y106" s="15">
        <f t="shared" si="70"/>
        <v>0.12000000000000001</v>
      </c>
      <c r="Z106" s="16">
        <f t="shared" si="62"/>
        <v>0.72</v>
      </c>
      <c r="AA106" s="16"/>
      <c r="AB106" s="16"/>
      <c r="AC106" s="13">
        <f t="shared" si="63"/>
        <v>10</v>
      </c>
      <c r="AD106" s="13">
        <f t="shared" si="64"/>
        <v>0</v>
      </c>
      <c r="AE106" s="13">
        <f t="shared" si="65"/>
        <v>465</v>
      </c>
      <c r="AF106" s="12"/>
      <c r="AG106" s="12">
        <f t="shared" si="53"/>
        <v>140</v>
      </c>
      <c r="AH106" s="12">
        <f t="shared" si="45"/>
        <v>0</v>
      </c>
      <c r="AI106" s="12">
        <f t="shared" si="46"/>
        <v>0</v>
      </c>
      <c r="AJ106" s="12">
        <f t="shared" si="47"/>
        <v>0.20947630922693267</v>
      </c>
      <c r="AK106" s="12">
        <f t="shared" si="48"/>
        <v>0</v>
      </c>
      <c r="AL106" s="12">
        <f t="shared" si="49"/>
        <v>0.20947630922693267</v>
      </c>
      <c r="AM106" s="13">
        <f t="shared" si="66"/>
        <v>0</v>
      </c>
      <c r="AN106" s="13">
        <f t="shared" si="67"/>
        <v>200</v>
      </c>
      <c r="AO106" s="13">
        <f t="shared" si="56"/>
        <v>0</v>
      </c>
      <c r="AP106" s="13">
        <f t="shared" si="57"/>
        <v>0</v>
      </c>
      <c r="AQ106" s="12">
        <f t="shared" si="68"/>
        <v>4860</v>
      </c>
      <c r="AR106" s="13">
        <f t="shared" si="58"/>
        <v>675</v>
      </c>
      <c r="AS106" s="17" t="s">
        <v>245</v>
      </c>
    </row>
    <row r="107" spans="1:45" x14ac:dyDescent="0.25">
      <c r="A107" s="22">
        <v>45538</v>
      </c>
      <c r="B107" s="10" t="str">
        <f t="shared" si="59"/>
        <v>2024</v>
      </c>
      <c r="C107" s="10" t="str">
        <f t="shared" si="60"/>
        <v>September</v>
      </c>
      <c r="D107" s="10"/>
      <c r="E107" s="11">
        <v>488</v>
      </c>
      <c r="F107" s="12">
        <f t="shared" si="69"/>
        <v>5856</v>
      </c>
      <c r="G107" s="14" t="s">
        <v>31</v>
      </c>
      <c r="H107" s="6">
        <v>0</v>
      </c>
      <c r="I107" s="6">
        <v>57</v>
      </c>
      <c r="J107" s="6">
        <f t="shared" si="61"/>
        <v>3784</v>
      </c>
      <c r="K107" s="6"/>
      <c r="L107" s="6">
        <v>2633</v>
      </c>
      <c r="M107" s="6"/>
      <c r="N107" s="6">
        <v>1151</v>
      </c>
      <c r="O107" s="6"/>
      <c r="P107" s="6">
        <v>1740</v>
      </c>
      <c r="Q107" s="6">
        <v>87</v>
      </c>
      <c r="R107" s="6">
        <v>0</v>
      </c>
      <c r="S107" s="6">
        <v>0</v>
      </c>
      <c r="T107" s="6">
        <v>0</v>
      </c>
      <c r="U107" s="14" t="s">
        <v>32</v>
      </c>
      <c r="V107" s="14"/>
      <c r="W107" s="6">
        <v>10</v>
      </c>
      <c r="X107" s="6">
        <v>8.6999999999999993</v>
      </c>
      <c r="Y107" s="15">
        <f t="shared" si="70"/>
        <v>0.14499999999999999</v>
      </c>
      <c r="Z107" s="16">
        <f t="shared" si="62"/>
        <v>0.86999999999999988</v>
      </c>
      <c r="AA107" s="16"/>
      <c r="AB107" s="16"/>
      <c r="AC107" s="13">
        <f t="shared" si="63"/>
        <v>10</v>
      </c>
      <c r="AD107" s="13">
        <f t="shared" si="64"/>
        <v>0</v>
      </c>
      <c r="AE107" s="13">
        <f t="shared" si="65"/>
        <v>434.94252873563221</v>
      </c>
      <c r="AF107" s="12"/>
      <c r="AG107" s="12">
        <f t="shared" si="53"/>
        <v>132.29885057471265</v>
      </c>
      <c r="AH107" s="12">
        <f t="shared" si="45"/>
        <v>0</v>
      </c>
      <c r="AI107" s="12">
        <f t="shared" si="46"/>
        <v>0</v>
      </c>
      <c r="AJ107" s="12">
        <f t="shared" si="47"/>
        <v>0.19655054644808742</v>
      </c>
      <c r="AK107" s="12">
        <f t="shared" si="48"/>
        <v>0</v>
      </c>
      <c r="AL107" s="12">
        <f t="shared" si="49"/>
        <v>0.19655054644808742</v>
      </c>
      <c r="AM107" s="13">
        <f t="shared" si="66"/>
        <v>0</v>
      </c>
      <c r="AN107" s="13">
        <f t="shared" si="67"/>
        <v>200.00000000000003</v>
      </c>
      <c r="AO107" s="13">
        <f t="shared" si="56"/>
        <v>0</v>
      </c>
      <c r="AP107" s="13">
        <f t="shared" si="57"/>
        <v>0</v>
      </c>
      <c r="AQ107" s="12">
        <f t="shared" si="68"/>
        <v>5611</v>
      </c>
      <c r="AR107" s="13">
        <f t="shared" si="58"/>
        <v>644.94252873563221</v>
      </c>
      <c r="AS107" s="17"/>
    </row>
    <row r="108" spans="1:45" x14ac:dyDescent="0.25">
      <c r="A108" s="22">
        <v>45541</v>
      </c>
      <c r="B108" s="10" t="str">
        <f t="shared" si="59"/>
        <v>2024</v>
      </c>
      <c r="C108" s="10" t="str">
        <f t="shared" si="60"/>
        <v>September</v>
      </c>
      <c r="D108" s="10"/>
      <c r="E108" s="11">
        <v>391</v>
      </c>
      <c r="F108" s="12">
        <f t="shared" si="69"/>
        <v>4692</v>
      </c>
      <c r="G108" s="14" t="s">
        <v>31</v>
      </c>
      <c r="H108" s="6">
        <v>0</v>
      </c>
      <c r="I108" s="6">
        <v>57</v>
      </c>
      <c r="J108" s="6">
        <f t="shared" si="61"/>
        <v>2896</v>
      </c>
      <c r="K108" s="6"/>
      <c r="L108" s="6">
        <v>2160</v>
      </c>
      <c r="M108" s="6"/>
      <c r="N108" s="6">
        <v>736</v>
      </c>
      <c r="O108" s="6"/>
      <c r="P108" s="6">
        <v>1400</v>
      </c>
      <c r="Q108" s="6">
        <v>70</v>
      </c>
      <c r="R108" s="6">
        <v>0</v>
      </c>
      <c r="S108" s="6">
        <v>0</v>
      </c>
      <c r="T108" s="6">
        <v>0</v>
      </c>
      <c r="U108" s="14" t="s">
        <v>32</v>
      </c>
      <c r="V108" s="14"/>
      <c r="W108" s="6">
        <v>10</v>
      </c>
      <c r="X108" s="6">
        <v>7</v>
      </c>
      <c r="Y108" s="15">
        <f t="shared" si="70"/>
        <v>0.11666666666666667</v>
      </c>
      <c r="Z108" s="16">
        <f t="shared" si="62"/>
        <v>0.7</v>
      </c>
      <c r="AA108" s="16"/>
      <c r="AB108" s="16"/>
      <c r="AC108" s="13">
        <f t="shared" si="63"/>
        <v>10</v>
      </c>
      <c r="AD108" s="13">
        <f t="shared" si="64"/>
        <v>0</v>
      </c>
      <c r="AE108" s="13">
        <f t="shared" si="65"/>
        <v>413.71428571428572</v>
      </c>
      <c r="AF108" s="12"/>
      <c r="AG108" s="12">
        <f t="shared" si="53"/>
        <v>105.14285714285714</v>
      </c>
      <c r="AH108" s="12">
        <f t="shared" si="45"/>
        <v>0</v>
      </c>
      <c r="AI108" s="12">
        <f t="shared" si="46"/>
        <v>0</v>
      </c>
      <c r="AJ108" s="12">
        <f t="shared" si="47"/>
        <v>0.15686274509803921</v>
      </c>
      <c r="AK108" s="12">
        <f t="shared" si="48"/>
        <v>0</v>
      </c>
      <c r="AL108" s="12">
        <f t="shared" si="49"/>
        <v>0.15686274509803921</v>
      </c>
      <c r="AM108" s="13">
        <f t="shared" si="66"/>
        <v>0</v>
      </c>
      <c r="AN108" s="13">
        <f t="shared" si="67"/>
        <v>200</v>
      </c>
      <c r="AO108" s="13">
        <f t="shared" si="56"/>
        <v>0</v>
      </c>
      <c r="AP108" s="13">
        <f t="shared" si="57"/>
        <v>0</v>
      </c>
      <c r="AQ108" s="12">
        <f t="shared" si="68"/>
        <v>4366</v>
      </c>
      <c r="AR108" s="13">
        <f t="shared" si="58"/>
        <v>623.71428571428578</v>
      </c>
      <c r="AS108" s="17" t="s">
        <v>246</v>
      </c>
    </row>
    <row r="109" spans="1:45" x14ac:dyDescent="0.25">
      <c r="A109" s="22">
        <v>45544</v>
      </c>
      <c r="B109" s="10" t="str">
        <f t="shared" si="59"/>
        <v>2024</v>
      </c>
      <c r="C109" s="10" t="str">
        <f t="shared" si="60"/>
        <v>September</v>
      </c>
      <c r="D109" s="10"/>
      <c r="E109" s="11">
        <v>525</v>
      </c>
      <c r="F109" s="12">
        <f t="shared" si="69"/>
        <v>6300</v>
      </c>
      <c r="G109" s="14" t="s">
        <v>31</v>
      </c>
      <c r="H109" s="6">
        <v>0</v>
      </c>
      <c r="I109" s="6">
        <v>57</v>
      </c>
      <c r="J109" s="6">
        <f t="shared" si="61"/>
        <v>3906</v>
      </c>
      <c r="K109" s="6"/>
      <c r="L109" s="6">
        <v>3003</v>
      </c>
      <c r="M109" s="6"/>
      <c r="N109" s="6">
        <v>903</v>
      </c>
      <c r="O109" s="6"/>
      <c r="P109" s="6">
        <v>1800</v>
      </c>
      <c r="Q109" s="6">
        <v>90</v>
      </c>
      <c r="R109" s="6">
        <v>0</v>
      </c>
      <c r="S109" s="6">
        <v>0</v>
      </c>
      <c r="T109" s="6">
        <v>0</v>
      </c>
      <c r="U109" s="14" t="s">
        <v>32</v>
      </c>
      <c r="V109" s="14"/>
      <c r="W109" s="6">
        <v>12</v>
      </c>
      <c r="X109" s="6">
        <v>9</v>
      </c>
      <c r="Y109" s="15">
        <f t="shared" si="70"/>
        <v>0.125</v>
      </c>
      <c r="Z109" s="16">
        <f t="shared" si="62"/>
        <v>0.75</v>
      </c>
      <c r="AA109" s="16"/>
      <c r="AB109" s="16"/>
      <c r="AC109" s="13">
        <f t="shared" si="63"/>
        <v>10</v>
      </c>
      <c r="AD109" s="13">
        <f t="shared" si="64"/>
        <v>0</v>
      </c>
      <c r="AE109" s="13">
        <f t="shared" si="65"/>
        <v>434</v>
      </c>
      <c r="AF109" s="12"/>
      <c r="AG109" s="12">
        <f t="shared" si="53"/>
        <v>100.33333333333333</v>
      </c>
      <c r="AH109" s="12">
        <f t="shared" si="45"/>
        <v>0</v>
      </c>
      <c r="AI109" s="12">
        <f t="shared" si="46"/>
        <v>0</v>
      </c>
      <c r="AJ109" s="12">
        <f t="shared" si="47"/>
        <v>0.14333333333333334</v>
      </c>
      <c r="AK109" s="12">
        <f t="shared" si="48"/>
        <v>0</v>
      </c>
      <c r="AL109" s="12">
        <f t="shared" si="49"/>
        <v>0.14333333333333334</v>
      </c>
      <c r="AM109" s="13">
        <f t="shared" si="66"/>
        <v>0</v>
      </c>
      <c r="AN109" s="13">
        <f t="shared" si="67"/>
        <v>200</v>
      </c>
      <c r="AO109" s="13">
        <f t="shared" si="56"/>
        <v>0</v>
      </c>
      <c r="AP109" s="13">
        <f t="shared" si="57"/>
        <v>0</v>
      </c>
      <c r="AQ109" s="12">
        <f t="shared" si="68"/>
        <v>5796</v>
      </c>
      <c r="AR109" s="13">
        <f t="shared" si="58"/>
        <v>644</v>
      </c>
      <c r="AS109" s="17" t="s">
        <v>247</v>
      </c>
    </row>
    <row r="110" spans="1:45" x14ac:dyDescent="0.25">
      <c r="A110" s="22">
        <v>45547</v>
      </c>
      <c r="B110" s="10" t="str">
        <f t="shared" si="59"/>
        <v>2024</v>
      </c>
      <c r="C110" s="10" t="str">
        <f t="shared" si="60"/>
        <v>September</v>
      </c>
      <c r="D110" s="10"/>
      <c r="E110" s="11">
        <v>321</v>
      </c>
      <c r="F110" s="12">
        <f t="shared" si="69"/>
        <v>3852</v>
      </c>
      <c r="G110" s="14" t="s">
        <v>248</v>
      </c>
      <c r="H110" s="6">
        <v>0</v>
      </c>
      <c r="I110" s="6">
        <v>57</v>
      </c>
      <c r="J110" s="6">
        <f t="shared" si="61"/>
        <v>2582</v>
      </c>
      <c r="K110" s="6"/>
      <c r="L110" s="6">
        <v>1919</v>
      </c>
      <c r="M110" s="6"/>
      <c r="N110" s="6">
        <v>663</v>
      </c>
      <c r="O110" s="6"/>
      <c r="P110" s="6">
        <v>1183</v>
      </c>
      <c r="Q110" s="6">
        <v>59</v>
      </c>
      <c r="R110" s="6">
        <v>0</v>
      </c>
      <c r="S110" s="6">
        <v>0</v>
      </c>
      <c r="T110" s="6">
        <v>0</v>
      </c>
      <c r="U110" s="14" t="s">
        <v>249</v>
      </c>
      <c r="V110" s="14"/>
      <c r="W110" s="6">
        <v>10</v>
      </c>
      <c r="X110" s="6">
        <v>5.9</v>
      </c>
      <c r="Y110" s="15">
        <f t="shared" si="70"/>
        <v>9.8333333333333342E-2</v>
      </c>
      <c r="Z110" s="16">
        <f t="shared" si="62"/>
        <v>0.59000000000000008</v>
      </c>
      <c r="AA110" s="16"/>
      <c r="AB110" s="16"/>
      <c r="AC110" s="13">
        <f t="shared" si="63"/>
        <v>10</v>
      </c>
      <c r="AD110" s="13">
        <f t="shared" si="64"/>
        <v>0</v>
      </c>
      <c r="AE110" s="13">
        <f t="shared" si="65"/>
        <v>437.62711864406776</v>
      </c>
      <c r="AF110" s="12"/>
      <c r="AG110" s="12">
        <f t="shared" si="53"/>
        <v>112.37288135593219</v>
      </c>
      <c r="AH110" s="12">
        <f t="shared" si="45"/>
        <v>0</v>
      </c>
      <c r="AI110" s="12">
        <f t="shared" si="46"/>
        <v>0</v>
      </c>
      <c r="AJ110" s="12">
        <f t="shared" si="47"/>
        <v>0.17211838006230529</v>
      </c>
      <c r="AK110" s="12">
        <f t="shared" si="48"/>
        <v>0</v>
      </c>
      <c r="AL110" s="12">
        <f t="shared" si="49"/>
        <v>0.17211838006230529</v>
      </c>
      <c r="AM110" s="13">
        <f t="shared" si="66"/>
        <v>0</v>
      </c>
      <c r="AN110" s="13">
        <f t="shared" si="67"/>
        <v>200.50847457627117</v>
      </c>
      <c r="AO110" s="13">
        <f t="shared" si="56"/>
        <v>0</v>
      </c>
      <c r="AP110" s="13">
        <f t="shared" si="57"/>
        <v>0</v>
      </c>
      <c r="AQ110" s="12">
        <f t="shared" si="68"/>
        <v>3824</v>
      </c>
      <c r="AR110" s="13">
        <f t="shared" si="58"/>
        <v>648.13559322033893</v>
      </c>
      <c r="AS110" s="17" t="s">
        <v>94</v>
      </c>
    </row>
    <row r="111" spans="1:45" x14ac:dyDescent="0.25">
      <c r="A111" s="22">
        <v>45548</v>
      </c>
      <c r="B111" s="10" t="str">
        <f t="shared" si="59"/>
        <v>2024</v>
      </c>
      <c r="C111" s="10" t="str">
        <f t="shared" si="60"/>
        <v>September</v>
      </c>
      <c r="D111" s="10"/>
      <c r="E111" s="11">
        <v>542</v>
      </c>
      <c r="F111" s="12">
        <f t="shared" si="69"/>
        <v>6504</v>
      </c>
      <c r="G111" s="14" t="s">
        <v>31</v>
      </c>
      <c r="H111" s="6">
        <v>0</v>
      </c>
      <c r="I111" s="6">
        <v>57</v>
      </c>
      <c r="J111" s="6">
        <f t="shared" si="61"/>
        <v>4900</v>
      </c>
      <c r="K111" s="6"/>
      <c r="L111" s="6">
        <v>3052</v>
      </c>
      <c r="M111" s="6"/>
      <c r="N111" s="6">
        <v>1848</v>
      </c>
      <c r="O111" s="6"/>
      <c r="P111" s="6">
        <v>2080</v>
      </c>
      <c r="Q111" s="6">
        <v>104</v>
      </c>
      <c r="R111" s="6">
        <v>0</v>
      </c>
      <c r="S111" s="6">
        <v>0</v>
      </c>
      <c r="T111" s="6">
        <v>0</v>
      </c>
      <c r="U111" s="14" t="s">
        <v>32</v>
      </c>
      <c r="V111" s="14"/>
      <c r="W111" s="6">
        <v>12</v>
      </c>
      <c r="X111" s="6">
        <v>10.4</v>
      </c>
      <c r="Y111" s="15">
        <f t="shared" si="70"/>
        <v>0.14444444444444446</v>
      </c>
      <c r="Z111" s="16">
        <f t="shared" si="62"/>
        <v>0.8666666666666667</v>
      </c>
      <c r="AA111" s="16"/>
      <c r="AB111" s="16"/>
      <c r="AC111" s="13">
        <f t="shared" si="63"/>
        <v>10</v>
      </c>
      <c r="AD111" s="13">
        <f t="shared" si="64"/>
        <v>0</v>
      </c>
      <c r="AE111" s="13">
        <f t="shared" si="65"/>
        <v>471.15384615384613</v>
      </c>
      <c r="AF111" s="12"/>
      <c r="AG111" s="12">
        <f t="shared" si="53"/>
        <v>177.69230769230768</v>
      </c>
      <c r="AH111" s="12">
        <f t="shared" si="45"/>
        <v>0</v>
      </c>
      <c r="AI111" s="12">
        <f t="shared" si="46"/>
        <v>0</v>
      </c>
      <c r="AJ111" s="12">
        <f t="shared" si="47"/>
        <v>0.28413284132841327</v>
      </c>
      <c r="AK111" s="12">
        <f t="shared" si="48"/>
        <v>0</v>
      </c>
      <c r="AL111" s="12">
        <f t="shared" si="49"/>
        <v>0.28413284132841327</v>
      </c>
      <c r="AM111" s="13">
        <f t="shared" si="66"/>
        <v>0</v>
      </c>
      <c r="AN111" s="13">
        <f t="shared" si="67"/>
        <v>200</v>
      </c>
      <c r="AO111" s="13">
        <f t="shared" si="56"/>
        <v>0</v>
      </c>
      <c r="AP111" s="13">
        <f t="shared" si="57"/>
        <v>0</v>
      </c>
      <c r="AQ111" s="12">
        <f t="shared" si="68"/>
        <v>7084</v>
      </c>
      <c r="AR111" s="13">
        <f t="shared" si="58"/>
        <v>681.15384615384619</v>
      </c>
      <c r="AS111" s="17" t="s">
        <v>250</v>
      </c>
    </row>
    <row r="112" spans="1:45" x14ac:dyDescent="0.25">
      <c r="A112" s="22">
        <v>45552</v>
      </c>
      <c r="B112" s="10" t="str">
        <f t="shared" si="59"/>
        <v>2024</v>
      </c>
      <c r="C112" s="10" t="str">
        <f t="shared" si="60"/>
        <v>September</v>
      </c>
      <c r="D112" s="10"/>
      <c r="E112" s="11">
        <v>214</v>
      </c>
      <c r="F112" s="12">
        <f t="shared" si="69"/>
        <v>2568</v>
      </c>
      <c r="G112" s="14" t="s">
        <v>31</v>
      </c>
      <c r="H112" s="6">
        <v>0</v>
      </c>
      <c r="I112" s="6">
        <v>57</v>
      </c>
      <c r="J112" s="6">
        <f t="shared" si="61"/>
        <v>1595</v>
      </c>
      <c r="K112" s="6"/>
      <c r="L112" s="6">
        <v>1077</v>
      </c>
      <c r="M112" s="6"/>
      <c r="N112" s="6">
        <v>518</v>
      </c>
      <c r="O112" s="6"/>
      <c r="P112" s="6">
        <v>1000</v>
      </c>
      <c r="Q112" s="6">
        <v>50</v>
      </c>
      <c r="R112" s="6">
        <v>0</v>
      </c>
      <c r="S112" s="6">
        <v>0</v>
      </c>
      <c r="T112" s="6">
        <v>0</v>
      </c>
      <c r="U112" s="14" t="s">
        <v>32</v>
      </c>
      <c r="V112" s="14"/>
      <c r="W112" s="6">
        <v>10</v>
      </c>
      <c r="X112" s="6">
        <v>5</v>
      </c>
      <c r="Y112" s="15">
        <f t="shared" si="70"/>
        <v>8.3333333333333329E-2</v>
      </c>
      <c r="Z112" s="16">
        <f t="shared" si="62"/>
        <v>0.5</v>
      </c>
      <c r="AA112" s="16"/>
      <c r="AB112" s="16"/>
      <c r="AC112" s="13">
        <f t="shared" si="63"/>
        <v>10</v>
      </c>
      <c r="AD112" s="13">
        <f t="shared" si="64"/>
        <v>0</v>
      </c>
      <c r="AE112" s="13">
        <f t="shared" si="65"/>
        <v>319</v>
      </c>
      <c r="AF112" s="12"/>
      <c r="AG112" s="12">
        <f t="shared" si="53"/>
        <v>103.6</v>
      </c>
      <c r="AH112" s="12">
        <f t="shared" si="45"/>
        <v>0</v>
      </c>
      <c r="AI112" s="12">
        <f t="shared" si="46"/>
        <v>0</v>
      </c>
      <c r="AJ112" s="12">
        <f t="shared" si="47"/>
        <v>0.20171339563862928</v>
      </c>
      <c r="AK112" s="12">
        <f t="shared" si="48"/>
        <v>0</v>
      </c>
      <c r="AL112" s="12">
        <f t="shared" si="49"/>
        <v>0.20171339563862928</v>
      </c>
      <c r="AM112" s="13">
        <f t="shared" si="66"/>
        <v>0</v>
      </c>
      <c r="AN112" s="13">
        <f t="shared" si="67"/>
        <v>200</v>
      </c>
      <c r="AO112" s="13">
        <f t="shared" si="56"/>
        <v>0</v>
      </c>
      <c r="AP112" s="13">
        <f t="shared" si="57"/>
        <v>0</v>
      </c>
      <c r="AQ112" s="12">
        <f t="shared" si="68"/>
        <v>2645</v>
      </c>
      <c r="AR112" s="13">
        <f t="shared" si="58"/>
        <v>529</v>
      </c>
      <c r="AS112" s="17" t="s">
        <v>251</v>
      </c>
    </row>
    <row r="113" spans="1:45" x14ac:dyDescent="0.25">
      <c r="A113" s="22">
        <v>45553</v>
      </c>
      <c r="B113" s="10" t="str">
        <f t="shared" si="59"/>
        <v>2024</v>
      </c>
      <c r="C113" s="10" t="str">
        <f t="shared" si="60"/>
        <v>September</v>
      </c>
      <c r="D113" s="10"/>
      <c r="E113" s="11">
        <v>467</v>
      </c>
      <c r="F113" s="12">
        <f t="shared" si="69"/>
        <v>5604</v>
      </c>
      <c r="G113" s="14" t="s">
        <v>31</v>
      </c>
      <c r="H113" s="6">
        <v>0</v>
      </c>
      <c r="I113" s="6">
        <v>57</v>
      </c>
      <c r="J113" s="6">
        <f t="shared" si="61"/>
        <v>3989</v>
      </c>
      <c r="K113" s="6"/>
      <c r="L113" s="6">
        <v>2828</v>
      </c>
      <c r="M113" s="6"/>
      <c r="N113" s="6">
        <v>1161</v>
      </c>
      <c r="O113" s="6"/>
      <c r="P113" s="6">
        <v>1800</v>
      </c>
      <c r="Q113" s="6">
        <v>90</v>
      </c>
      <c r="R113" s="6">
        <v>0</v>
      </c>
      <c r="S113" s="6">
        <v>0</v>
      </c>
      <c r="T113" s="6">
        <v>0</v>
      </c>
      <c r="U113" s="14" t="s">
        <v>32</v>
      </c>
      <c r="V113" s="14"/>
      <c r="W113" s="6">
        <v>10</v>
      </c>
      <c r="X113" s="6">
        <v>9</v>
      </c>
      <c r="Y113" s="15">
        <f t="shared" si="70"/>
        <v>0.15</v>
      </c>
      <c r="Z113" s="16">
        <f t="shared" si="62"/>
        <v>0.9</v>
      </c>
      <c r="AA113" s="16"/>
      <c r="AB113" s="16"/>
      <c r="AC113" s="13">
        <f t="shared" si="63"/>
        <v>10</v>
      </c>
      <c r="AD113" s="13">
        <f t="shared" si="64"/>
        <v>0</v>
      </c>
      <c r="AE113" s="13">
        <f t="shared" si="65"/>
        <v>443.22222222222223</v>
      </c>
      <c r="AF113" s="12"/>
      <c r="AG113" s="12">
        <f t="shared" si="53"/>
        <v>129</v>
      </c>
      <c r="AH113" s="12">
        <f t="shared" si="45"/>
        <v>0</v>
      </c>
      <c r="AI113" s="12">
        <f t="shared" si="46"/>
        <v>0</v>
      </c>
      <c r="AJ113" s="12">
        <f t="shared" si="47"/>
        <v>0.20717344753747324</v>
      </c>
      <c r="AK113" s="12">
        <f t="shared" si="48"/>
        <v>0</v>
      </c>
      <c r="AL113" s="12">
        <f t="shared" si="49"/>
        <v>0.20717344753747324</v>
      </c>
      <c r="AM113" s="13">
        <f t="shared" si="66"/>
        <v>0</v>
      </c>
      <c r="AN113" s="13">
        <f t="shared" si="67"/>
        <v>200</v>
      </c>
      <c r="AO113" s="13">
        <f t="shared" si="56"/>
        <v>0</v>
      </c>
      <c r="AP113" s="13">
        <f t="shared" si="57"/>
        <v>0</v>
      </c>
      <c r="AQ113" s="12">
        <f t="shared" si="68"/>
        <v>5879</v>
      </c>
      <c r="AR113" s="13">
        <f t="shared" si="58"/>
        <v>653.22222222222217</v>
      </c>
      <c r="AS113" s="17" t="s">
        <v>252</v>
      </c>
    </row>
    <row r="114" spans="1:45" x14ac:dyDescent="0.25">
      <c r="A114" s="22">
        <v>45558</v>
      </c>
      <c r="B114" s="10" t="str">
        <f t="shared" si="59"/>
        <v>2024</v>
      </c>
      <c r="C114" s="10" t="str">
        <f t="shared" si="60"/>
        <v>September</v>
      </c>
      <c r="D114" s="10"/>
      <c r="E114" s="11">
        <v>477</v>
      </c>
      <c r="F114" s="12">
        <f t="shared" si="69"/>
        <v>5724</v>
      </c>
      <c r="G114" s="14" t="s">
        <v>31</v>
      </c>
      <c r="H114" s="6">
        <v>0</v>
      </c>
      <c r="I114" s="6">
        <v>57</v>
      </c>
      <c r="J114" s="6">
        <f t="shared" si="61"/>
        <v>2610</v>
      </c>
      <c r="K114" s="6"/>
      <c r="L114" s="6">
        <v>2610</v>
      </c>
      <c r="M114" s="6"/>
      <c r="N114" s="6">
        <v>0</v>
      </c>
      <c r="O114" s="6"/>
      <c r="P114" s="6">
        <v>1350</v>
      </c>
      <c r="Q114" s="6">
        <v>0</v>
      </c>
      <c r="R114" s="6">
        <v>2487</v>
      </c>
      <c r="S114" s="6">
        <v>0</v>
      </c>
      <c r="T114" s="6">
        <v>0</v>
      </c>
      <c r="U114" s="14" t="s">
        <v>32</v>
      </c>
      <c r="V114" s="14"/>
      <c r="W114" s="6">
        <v>10</v>
      </c>
      <c r="X114" s="6">
        <v>9</v>
      </c>
      <c r="Y114" s="15">
        <f t="shared" si="70"/>
        <v>0.15</v>
      </c>
      <c r="Z114" s="16">
        <f t="shared" si="62"/>
        <v>0.9</v>
      </c>
      <c r="AA114" s="16"/>
      <c r="AB114" s="16"/>
      <c r="AC114" s="13">
        <f t="shared" si="63"/>
        <v>0</v>
      </c>
      <c r="AD114" s="13">
        <f t="shared" si="64"/>
        <v>0</v>
      </c>
      <c r="AE114" s="13">
        <f t="shared" si="65"/>
        <v>290</v>
      </c>
      <c r="AF114" s="12"/>
      <c r="AG114" s="12"/>
      <c r="AH114" s="12">
        <f t="shared" si="45"/>
        <v>0</v>
      </c>
      <c r="AI114" s="12">
        <f t="shared" si="46"/>
        <v>0</v>
      </c>
      <c r="AJ114" s="12">
        <f t="shared" si="47"/>
        <v>0</v>
      </c>
      <c r="AK114" s="12">
        <f t="shared" si="48"/>
        <v>0</v>
      </c>
      <c r="AL114" s="12">
        <f t="shared" si="49"/>
        <v>0</v>
      </c>
      <c r="AM114" s="13">
        <f t="shared" si="66"/>
        <v>276.33333333333331</v>
      </c>
      <c r="AN114" s="13">
        <f t="shared" si="67"/>
        <v>150</v>
      </c>
      <c r="AO114" s="13">
        <f t="shared" si="56"/>
        <v>0</v>
      </c>
      <c r="AP114" s="13">
        <f t="shared" si="57"/>
        <v>0</v>
      </c>
      <c r="AQ114" s="12">
        <f t="shared" si="68"/>
        <v>6447</v>
      </c>
      <c r="AR114" s="13">
        <f t="shared" si="58"/>
        <v>716.33333333333326</v>
      </c>
      <c r="AS114" s="17" t="s">
        <v>253</v>
      </c>
    </row>
    <row r="115" spans="1:45" x14ac:dyDescent="0.25">
      <c r="A115" s="22">
        <v>45559</v>
      </c>
      <c r="B115" s="10" t="str">
        <f t="shared" si="59"/>
        <v>2024</v>
      </c>
      <c r="C115" s="10" t="str">
        <f t="shared" si="60"/>
        <v>September</v>
      </c>
      <c r="D115" s="10"/>
      <c r="E115" s="11">
        <v>455</v>
      </c>
      <c r="F115" s="12">
        <f t="shared" si="69"/>
        <v>5460</v>
      </c>
      <c r="G115" s="14" t="s">
        <v>31</v>
      </c>
      <c r="H115" s="6">
        <v>0</v>
      </c>
      <c r="I115" s="6">
        <v>57</v>
      </c>
      <c r="J115" s="6">
        <f t="shared" si="61"/>
        <v>2831</v>
      </c>
      <c r="K115" s="6"/>
      <c r="L115" s="6">
        <v>2231</v>
      </c>
      <c r="M115" s="6"/>
      <c r="N115" s="6">
        <v>600</v>
      </c>
      <c r="O115" s="6"/>
      <c r="P115" s="6">
        <v>1200</v>
      </c>
      <c r="Q115" s="6">
        <v>75</v>
      </c>
      <c r="R115" s="6">
        <v>406</v>
      </c>
      <c r="S115" s="6">
        <v>0</v>
      </c>
      <c r="T115" s="6">
        <v>0</v>
      </c>
      <c r="U115" s="14" t="s">
        <v>32</v>
      </c>
      <c r="V115" s="14"/>
      <c r="W115" s="6">
        <v>10</v>
      </c>
      <c r="X115" s="6">
        <v>7.5</v>
      </c>
      <c r="Y115" s="15">
        <f t="shared" si="70"/>
        <v>0.125</v>
      </c>
      <c r="Z115" s="16">
        <f t="shared" si="62"/>
        <v>0.75</v>
      </c>
      <c r="AA115" s="16"/>
      <c r="AB115" s="16"/>
      <c r="AC115" s="13">
        <f t="shared" si="63"/>
        <v>10</v>
      </c>
      <c r="AD115" s="13">
        <f t="shared" si="64"/>
        <v>0</v>
      </c>
      <c r="AE115" s="13">
        <f t="shared" si="65"/>
        <v>377.46666666666664</v>
      </c>
      <c r="AF115" s="12"/>
      <c r="AG115" s="12">
        <f t="shared" si="53"/>
        <v>80</v>
      </c>
      <c r="AH115" s="12">
        <f t="shared" si="45"/>
        <v>0</v>
      </c>
      <c r="AI115" s="12">
        <f t="shared" si="46"/>
        <v>0</v>
      </c>
      <c r="AJ115" s="12">
        <f t="shared" si="47"/>
        <v>0.10989010989010989</v>
      </c>
      <c r="AK115" s="12">
        <f t="shared" si="48"/>
        <v>0</v>
      </c>
      <c r="AL115" s="12">
        <f t="shared" si="49"/>
        <v>0.10989010989010989</v>
      </c>
      <c r="AM115" s="13">
        <f t="shared" si="66"/>
        <v>54.133333333333333</v>
      </c>
      <c r="AN115" s="13">
        <f t="shared" si="67"/>
        <v>160</v>
      </c>
      <c r="AO115" s="13">
        <f t="shared" si="56"/>
        <v>0</v>
      </c>
      <c r="AP115" s="13">
        <f t="shared" si="57"/>
        <v>0</v>
      </c>
      <c r="AQ115" s="12">
        <f t="shared" si="68"/>
        <v>4512</v>
      </c>
      <c r="AR115" s="13">
        <f t="shared" si="58"/>
        <v>601.59999999999991</v>
      </c>
      <c r="AS115" s="17" t="s">
        <v>254</v>
      </c>
    </row>
    <row r="116" spans="1:45" x14ac:dyDescent="0.25">
      <c r="A116" s="22">
        <v>45560</v>
      </c>
      <c r="B116" s="10" t="str">
        <f t="shared" si="59"/>
        <v>2024</v>
      </c>
      <c r="C116" s="10" t="str">
        <f t="shared" si="60"/>
        <v>September</v>
      </c>
      <c r="D116" s="10"/>
      <c r="E116" s="11">
        <v>293</v>
      </c>
      <c r="F116" s="12">
        <f t="shared" si="69"/>
        <v>3516</v>
      </c>
      <c r="G116" s="14" t="s">
        <v>31</v>
      </c>
      <c r="H116" s="6">
        <v>0</v>
      </c>
      <c r="I116" s="6">
        <v>57</v>
      </c>
      <c r="J116" s="6">
        <f t="shared" si="61"/>
        <v>2341</v>
      </c>
      <c r="K116" s="6"/>
      <c r="L116" s="6">
        <v>1578</v>
      </c>
      <c r="M116" s="6"/>
      <c r="N116" s="6">
        <v>763</v>
      </c>
      <c r="O116" s="6"/>
      <c r="P116" s="6">
        <v>1100</v>
      </c>
      <c r="Q116" s="6">
        <v>55</v>
      </c>
      <c r="R116" s="6">
        <v>0</v>
      </c>
      <c r="S116" s="6">
        <v>0</v>
      </c>
      <c r="T116" s="6">
        <v>0</v>
      </c>
      <c r="U116" s="14" t="s">
        <v>32</v>
      </c>
      <c r="V116" s="14"/>
      <c r="W116" s="6">
        <v>7</v>
      </c>
      <c r="X116" s="6">
        <v>5.5</v>
      </c>
      <c r="Y116" s="15">
        <f t="shared" si="70"/>
        <v>0.13095238095238096</v>
      </c>
      <c r="Z116" s="16">
        <f t="shared" si="62"/>
        <v>0.7857142857142857</v>
      </c>
      <c r="AA116" s="16"/>
      <c r="AB116" s="16"/>
      <c r="AC116" s="13">
        <f t="shared" si="63"/>
        <v>10</v>
      </c>
      <c r="AD116" s="13">
        <f t="shared" si="64"/>
        <v>0</v>
      </c>
      <c r="AE116" s="13">
        <f t="shared" si="65"/>
        <v>425.63636363636363</v>
      </c>
      <c r="AF116" s="12"/>
      <c r="AG116" s="12">
        <f t="shared" si="53"/>
        <v>138.72727272727272</v>
      </c>
      <c r="AH116" s="12">
        <f t="shared" si="45"/>
        <v>0</v>
      </c>
      <c r="AI116" s="12">
        <f t="shared" si="46"/>
        <v>0</v>
      </c>
      <c r="AJ116" s="12">
        <f t="shared" si="47"/>
        <v>0.2170079635949943</v>
      </c>
      <c r="AK116" s="12">
        <f t="shared" si="48"/>
        <v>0</v>
      </c>
      <c r="AL116" s="12">
        <f t="shared" si="49"/>
        <v>0.2170079635949943</v>
      </c>
      <c r="AM116" s="13">
        <f t="shared" si="66"/>
        <v>0</v>
      </c>
      <c r="AN116" s="13">
        <f t="shared" si="67"/>
        <v>200</v>
      </c>
      <c r="AO116" s="13">
        <f t="shared" si="56"/>
        <v>0</v>
      </c>
      <c r="AP116" s="13">
        <f t="shared" si="57"/>
        <v>0</v>
      </c>
      <c r="AQ116" s="12">
        <f t="shared" si="68"/>
        <v>3496</v>
      </c>
      <c r="AR116" s="13">
        <f t="shared" si="58"/>
        <v>635.63636363636363</v>
      </c>
      <c r="AS116" s="17" t="s">
        <v>255</v>
      </c>
    </row>
    <row r="117" spans="1:45" x14ac:dyDescent="0.25">
      <c r="A117" s="22">
        <v>45562</v>
      </c>
      <c r="B117" s="10" t="str">
        <f t="shared" si="59"/>
        <v>2024</v>
      </c>
      <c r="C117" s="10" t="str">
        <f t="shared" si="60"/>
        <v>September</v>
      </c>
      <c r="D117" s="10"/>
      <c r="E117" s="11">
        <v>206</v>
      </c>
      <c r="F117" s="12">
        <f t="shared" si="69"/>
        <v>2472</v>
      </c>
      <c r="G117" s="14" t="s">
        <v>31</v>
      </c>
      <c r="H117" s="6">
        <v>103</v>
      </c>
      <c r="I117" s="6">
        <v>57</v>
      </c>
      <c r="J117" s="6">
        <f t="shared" si="61"/>
        <v>1648</v>
      </c>
      <c r="K117" s="6"/>
      <c r="L117" s="6">
        <v>1300</v>
      </c>
      <c r="M117" s="6"/>
      <c r="N117" s="6">
        <v>348</v>
      </c>
      <c r="O117" s="6"/>
      <c r="P117" s="6">
        <v>1225</v>
      </c>
      <c r="Q117" s="6">
        <v>0</v>
      </c>
      <c r="R117" s="6">
        <v>0</v>
      </c>
      <c r="S117" s="6"/>
      <c r="T117" s="6"/>
      <c r="U117" s="14" t="s">
        <v>132</v>
      </c>
      <c r="V117" s="14"/>
      <c r="W117" s="6">
        <v>8</v>
      </c>
      <c r="X117" s="6">
        <v>6</v>
      </c>
      <c r="Y117" s="15">
        <f t="shared" si="70"/>
        <v>0.125</v>
      </c>
      <c r="Z117" s="16">
        <f t="shared" si="62"/>
        <v>0.75</v>
      </c>
      <c r="AA117" s="16"/>
      <c r="AB117" s="16"/>
      <c r="AC117" s="13">
        <f t="shared" si="63"/>
        <v>0</v>
      </c>
      <c r="AD117" s="13">
        <f t="shared" si="64"/>
        <v>17.166666666666668</v>
      </c>
      <c r="AE117" s="13">
        <f t="shared" si="65"/>
        <v>274.66666666666669</v>
      </c>
      <c r="AF117" s="12"/>
      <c r="AG117" s="12">
        <f t="shared" si="53"/>
        <v>58</v>
      </c>
      <c r="AH117" s="12">
        <f t="shared" si="45"/>
        <v>0</v>
      </c>
      <c r="AI117" s="12">
        <f t="shared" si="46"/>
        <v>0</v>
      </c>
      <c r="AJ117" s="12">
        <f t="shared" si="47"/>
        <v>0.14077669902912621</v>
      </c>
      <c r="AK117" s="12">
        <f t="shared" si="48"/>
        <v>0</v>
      </c>
      <c r="AL117" s="12">
        <f t="shared" si="49"/>
        <v>0.14077669902912621</v>
      </c>
      <c r="AM117" s="13">
        <f t="shared" si="66"/>
        <v>0</v>
      </c>
      <c r="AN117" s="13">
        <f t="shared" si="67"/>
        <v>204.16666666666666</v>
      </c>
      <c r="AO117" s="13"/>
      <c r="AP117" s="13"/>
      <c r="AQ117" s="12">
        <f t="shared" si="68"/>
        <v>2976</v>
      </c>
      <c r="AR117" s="13">
        <f>AN117+AM117+AE117+AD117+AC117</f>
        <v>496.00000000000006</v>
      </c>
      <c r="AS117" s="21" t="s">
        <v>158</v>
      </c>
    </row>
    <row r="118" spans="1:45" x14ac:dyDescent="0.25">
      <c r="A118" s="22">
        <v>45565</v>
      </c>
      <c r="B118" s="10" t="str">
        <f t="shared" si="59"/>
        <v>2024</v>
      </c>
      <c r="C118" s="10" t="str">
        <f t="shared" si="60"/>
        <v>September</v>
      </c>
      <c r="D118" s="10"/>
      <c r="E118" s="11">
        <v>447</v>
      </c>
      <c r="F118" s="12">
        <f t="shared" si="69"/>
        <v>5364</v>
      </c>
      <c r="G118" s="14" t="s">
        <v>31</v>
      </c>
      <c r="H118" s="6">
        <v>0</v>
      </c>
      <c r="I118" s="6">
        <v>57</v>
      </c>
      <c r="J118" s="6">
        <f t="shared" si="61"/>
        <v>3798</v>
      </c>
      <c r="K118" s="6"/>
      <c r="L118" s="6">
        <v>2634</v>
      </c>
      <c r="M118" s="6"/>
      <c r="N118" s="6">
        <v>1164</v>
      </c>
      <c r="O118" s="6"/>
      <c r="P118" s="6">
        <v>1820</v>
      </c>
      <c r="Q118" s="6">
        <v>91</v>
      </c>
      <c r="R118" s="6">
        <v>0</v>
      </c>
      <c r="S118" s="6">
        <v>0</v>
      </c>
      <c r="T118" s="6">
        <v>0</v>
      </c>
      <c r="U118" s="14" t="s">
        <v>32</v>
      </c>
      <c r="V118" s="14"/>
      <c r="W118" s="6">
        <v>12</v>
      </c>
      <c r="X118" s="6">
        <v>9.1</v>
      </c>
      <c r="Y118" s="15">
        <f t="shared" si="70"/>
        <v>0.12638888888888888</v>
      </c>
      <c r="Z118" s="16">
        <f t="shared" si="62"/>
        <v>0.7583333333333333</v>
      </c>
      <c r="AA118" s="16"/>
      <c r="AB118" s="16"/>
      <c r="AC118" s="13">
        <f t="shared" si="63"/>
        <v>10</v>
      </c>
      <c r="AD118" s="13">
        <f t="shared" si="64"/>
        <v>0</v>
      </c>
      <c r="AE118" s="13">
        <f t="shared" si="65"/>
        <v>417.36263736263737</v>
      </c>
      <c r="AF118" s="12"/>
      <c r="AG118" s="12">
        <f t="shared" si="53"/>
        <v>127.91208791208791</v>
      </c>
      <c r="AH118" s="12">
        <f t="shared" si="45"/>
        <v>0</v>
      </c>
      <c r="AI118" s="12">
        <f t="shared" si="46"/>
        <v>0</v>
      </c>
      <c r="AJ118" s="12">
        <f t="shared" si="47"/>
        <v>0.21700223713646533</v>
      </c>
      <c r="AK118" s="12">
        <f t="shared" si="48"/>
        <v>0</v>
      </c>
      <c r="AL118" s="12">
        <f t="shared" si="49"/>
        <v>0.21700223713646533</v>
      </c>
      <c r="AM118" s="13">
        <f t="shared" si="66"/>
        <v>0</v>
      </c>
      <c r="AN118" s="13">
        <f t="shared" si="67"/>
        <v>200</v>
      </c>
      <c r="AO118" s="13">
        <f t="shared" ref="AO118:AO137" si="71">S118/X118</f>
        <v>0</v>
      </c>
      <c r="AP118" s="13">
        <f t="shared" ref="AP118:AP137" si="72">T118/X118</f>
        <v>0</v>
      </c>
      <c r="AQ118" s="12">
        <f t="shared" si="68"/>
        <v>5709</v>
      </c>
      <c r="AR118" s="13">
        <f t="shared" ref="AR118:AR137" si="73">AO118+AN118+AM118+AE118+AD118+AC118</f>
        <v>627.36263736263732</v>
      </c>
      <c r="AS118" s="17" t="s">
        <v>256</v>
      </c>
    </row>
    <row r="119" spans="1:45" x14ac:dyDescent="0.25">
      <c r="A119" s="22">
        <v>45568</v>
      </c>
      <c r="B119" s="10" t="str">
        <f t="shared" si="59"/>
        <v>2024</v>
      </c>
      <c r="C119" s="10" t="str">
        <f t="shared" si="60"/>
        <v>October</v>
      </c>
      <c r="D119" s="10"/>
      <c r="E119" s="11">
        <v>172</v>
      </c>
      <c r="F119" s="12">
        <f t="shared" si="69"/>
        <v>2064</v>
      </c>
      <c r="G119" s="14" t="s">
        <v>31</v>
      </c>
      <c r="H119" s="6">
        <v>0</v>
      </c>
      <c r="I119" s="6">
        <v>57</v>
      </c>
      <c r="J119" s="6">
        <f t="shared" si="61"/>
        <v>1368</v>
      </c>
      <c r="K119" s="6"/>
      <c r="L119" s="6">
        <v>982</v>
      </c>
      <c r="M119" s="6"/>
      <c r="N119" s="6">
        <v>386</v>
      </c>
      <c r="O119" s="6"/>
      <c r="P119" s="6">
        <v>600</v>
      </c>
      <c r="Q119" s="6">
        <v>30</v>
      </c>
      <c r="R119" s="6">
        <v>0</v>
      </c>
      <c r="S119" s="6">
        <v>0</v>
      </c>
      <c r="T119" s="6">
        <v>0</v>
      </c>
      <c r="U119" s="14" t="s">
        <v>32</v>
      </c>
      <c r="V119" s="14"/>
      <c r="W119" s="6">
        <v>4</v>
      </c>
      <c r="X119" s="6">
        <v>3</v>
      </c>
      <c r="Y119" s="15">
        <f t="shared" si="70"/>
        <v>0.125</v>
      </c>
      <c r="Z119" s="16">
        <f t="shared" si="62"/>
        <v>0.75</v>
      </c>
      <c r="AA119" s="16"/>
      <c r="AB119" s="16"/>
      <c r="AC119" s="13">
        <f t="shared" si="63"/>
        <v>10</v>
      </c>
      <c r="AD119" s="13">
        <f t="shared" si="64"/>
        <v>0</v>
      </c>
      <c r="AE119" s="13">
        <f t="shared" si="65"/>
        <v>456</v>
      </c>
      <c r="AF119" s="12"/>
      <c r="AG119" s="12">
        <f t="shared" si="53"/>
        <v>128.66666666666666</v>
      </c>
      <c r="AH119" s="12">
        <f t="shared" si="45"/>
        <v>0</v>
      </c>
      <c r="AI119" s="12">
        <f t="shared" si="46"/>
        <v>0</v>
      </c>
      <c r="AJ119" s="12">
        <f t="shared" si="47"/>
        <v>0.18701550387596899</v>
      </c>
      <c r="AK119" s="12">
        <f t="shared" si="48"/>
        <v>0</v>
      </c>
      <c r="AL119" s="12">
        <f t="shared" si="49"/>
        <v>0.18701550387596899</v>
      </c>
      <c r="AM119" s="13">
        <f t="shared" si="66"/>
        <v>0</v>
      </c>
      <c r="AN119" s="13">
        <f t="shared" si="67"/>
        <v>200</v>
      </c>
      <c r="AO119" s="13">
        <f t="shared" si="71"/>
        <v>0</v>
      </c>
      <c r="AP119" s="13">
        <f t="shared" si="72"/>
        <v>0</v>
      </c>
      <c r="AQ119" s="12">
        <f t="shared" si="68"/>
        <v>1998</v>
      </c>
      <c r="AR119" s="13">
        <f t="shared" si="73"/>
        <v>666</v>
      </c>
      <c r="AS119" s="17" t="s">
        <v>257</v>
      </c>
    </row>
    <row r="120" spans="1:45" x14ac:dyDescent="0.25">
      <c r="A120" s="22">
        <v>45569</v>
      </c>
      <c r="B120" s="10" t="str">
        <f t="shared" si="59"/>
        <v>2024</v>
      </c>
      <c r="C120" s="10" t="str">
        <f t="shared" si="60"/>
        <v>October</v>
      </c>
      <c r="D120" s="10"/>
      <c r="E120" s="11">
        <v>360</v>
      </c>
      <c r="F120" s="12">
        <f t="shared" si="69"/>
        <v>4320</v>
      </c>
      <c r="G120" s="14" t="s">
        <v>31</v>
      </c>
      <c r="H120" s="6">
        <v>0</v>
      </c>
      <c r="I120" s="6">
        <v>57</v>
      </c>
      <c r="J120" s="6">
        <f t="shared" si="61"/>
        <v>2654</v>
      </c>
      <c r="K120" s="6"/>
      <c r="L120" s="6">
        <v>2055</v>
      </c>
      <c r="M120" s="6"/>
      <c r="N120" s="6">
        <v>599</v>
      </c>
      <c r="O120" s="6"/>
      <c r="P120" s="6">
        <v>1480</v>
      </c>
      <c r="Q120" s="6">
        <v>74</v>
      </c>
      <c r="R120" s="6">
        <v>0</v>
      </c>
      <c r="S120" s="6">
        <v>0</v>
      </c>
      <c r="T120" s="6">
        <v>0</v>
      </c>
      <c r="U120" s="14" t="s">
        <v>32</v>
      </c>
      <c r="V120" s="14"/>
      <c r="W120" s="6">
        <v>10</v>
      </c>
      <c r="X120" s="6">
        <v>7.4</v>
      </c>
      <c r="Y120" s="15">
        <f t="shared" si="70"/>
        <v>0.12333333333333334</v>
      </c>
      <c r="Z120" s="16">
        <f t="shared" si="62"/>
        <v>0.74</v>
      </c>
      <c r="AA120" s="16"/>
      <c r="AB120" s="16"/>
      <c r="AC120" s="13">
        <f t="shared" si="63"/>
        <v>10</v>
      </c>
      <c r="AD120" s="13">
        <f t="shared" si="64"/>
        <v>0</v>
      </c>
      <c r="AE120" s="13">
        <f t="shared" si="65"/>
        <v>358.64864864864865</v>
      </c>
      <c r="AF120" s="12"/>
      <c r="AG120" s="12">
        <f t="shared" si="53"/>
        <v>80.945945945945937</v>
      </c>
      <c r="AH120" s="12">
        <f t="shared" si="45"/>
        <v>0</v>
      </c>
      <c r="AI120" s="12">
        <f t="shared" si="46"/>
        <v>0</v>
      </c>
      <c r="AJ120" s="12">
        <f t="shared" si="47"/>
        <v>0.1386574074074074</v>
      </c>
      <c r="AK120" s="12">
        <f t="shared" si="48"/>
        <v>0</v>
      </c>
      <c r="AL120" s="12">
        <f t="shared" si="49"/>
        <v>0.1386574074074074</v>
      </c>
      <c r="AM120" s="13">
        <f t="shared" si="66"/>
        <v>0</v>
      </c>
      <c r="AN120" s="13">
        <f t="shared" si="67"/>
        <v>200</v>
      </c>
      <c r="AO120" s="13">
        <f t="shared" si="71"/>
        <v>0</v>
      </c>
      <c r="AP120" s="13">
        <f t="shared" si="72"/>
        <v>0</v>
      </c>
      <c r="AQ120" s="12">
        <f t="shared" si="68"/>
        <v>4208</v>
      </c>
      <c r="AR120" s="13">
        <f t="shared" si="73"/>
        <v>568.64864864864865</v>
      </c>
      <c r="AS120" s="17" t="s">
        <v>258</v>
      </c>
    </row>
    <row r="121" spans="1:45" x14ac:dyDescent="0.25">
      <c r="A121" s="22">
        <v>45572</v>
      </c>
      <c r="B121" s="10" t="str">
        <f t="shared" si="59"/>
        <v>2024</v>
      </c>
      <c r="C121" s="10" t="str">
        <f t="shared" si="60"/>
        <v>October</v>
      </c>
      <c r="D121" s="10"/>
      <c r="E121" s="11">
        <v>451</v>
      </c>
      <c r="F121" s="12">
        <f t="shared" si="69"/>
        <v>5412</v>
      </c>
      <c r="G121" s="14" t="s">
        <v>31</v>
      </c>
      <c r="H121" s="6">
        <v>0</v>
      </c>
      <c r="I121" s="6">
        <v>57</v>
      </c>
      <c r="J121" s="6">
        <f t="shared" si="61"/>
        <v>3327</v>
      </c>
      <c r="K121" s="6"/>
      <c r="L121" s="6">
        <v>2328</v>
      </c>
      <c r="M121" s="6"/>
      <c r="N121" s="6">
        <v>999</v>
      </c>
      <c r="O121" s="6"/>
      <c r="P121" s="6">
        <v>1840</v>
      </c>
      <c r="Q121" s="6">
        <v>90</v>
      </c>
      <c r="R121" s="6">
        <v>0</v>
      </c>
      <c r="S121" s="6">
        <v>0</v>
      </c>
      <c r="T121" s="6">
        <v>0</v>
      </c>
      <c r="U121" s="14" t="s">
        <v>32</v>
      </c>
      <c r="V121" s="14"/>
      <c r="W121" s="6">
        <v>10</v>
      </c>
      <c r="X121" s="6">
        <v>9.1999999999999993</v>
      </c>
      <c r="Y121" s="15">
        <f t="shared" si="70"/>
        <v>0.15333333333333332</v>
      </c>
      <c r="Z121" s="16">
        <f t="shared" si="62"/>
        <v>0.91999999999999993</v>
      </c>
      <c r="AA121" s="16"/>
      <c r="AB121" s="16"/>
      <c r="AC121" s="13">
        <f t="shared" si="63"/>
        <v>9.7826086956521738</v>
      </c>
      <c r="AD121" s="13">
        <f t="shared" si="64"/>
        <v>0</v>
      </c>
      <c r="AE121" s="13">
        <f t="shared" si="65"/>
        <v>361.63043478260875</v>
      </c>
      <c r="AF121" s="12"/>
      <c r="AG121" s="12">
        <f t="shared" si="53"/>
        <v>108.58695652173914</v>
      </c>
      <c r="AH121" s="12">
        <f t="shared" si="45"/>
        <v>0</v>
      </c>
      <c r="AI121" s="12">
        <f t="shared" si="46"/>
        <v>0</v>
      </c>
      <c r="AJ121" s="12">
        <f t="shared" si="47"/>
        <v>0.18458980044345899</v>
      </c>
      <c r="AK121" s="12">
        <f t="shared" si="48"/>
        <v>0</v>
      </c>
      <c r="AL121" s="12">
        <f t="shared" si="49"/>
        <v>0.18458980044345899</v>
      </c>
      <c r="AM121" s="13">
        <f t="shared" si="66"/>
        <v>0</v>
      </c>
      <c r="AN121" s="13">
        <f t="shared" si="67"/>
        <v>200.00000000000003</v>
      </c>
      <c r="AO121" s="13">
        <f t="shared" si="71"/>
        <v>0</v>
      </c>
      <c r="AP121" s="13">
        <f t="shared" si="72"/>
        <v>0</v>
      </c>
      <c r="AQ121" s="12">
        <f t="shared" si="68"/>
        <v>5257</v>
      </c>
      <c r="AR121" s="13">
        <f t="shared" si="73"/>
        <v>571.41304347826087</v>
      </c>
      <c r="AS121" s="17"/>
    </row>
    <row r="122" spans="1:45" x14ac:dyDescent="0.25">
      <c r="A122" s="22">
        <v>45575</v>
      </c>
      <c r="B122" s="10" t="str">
        <f t="shared" si="59"/>
        <v>2024</v>
      </c>
      <c r="C122" s="10" t="str">
        <f t="shared" si="60"/>
        <v>October</v>
      </c>
      <c r="D122" s="10"/>
      <c r="E122" s="11">
        <v>310</v>
      </c>
      <c r="F122" s="12">
        <f t="shared" si="69"/>
        <v>3720</v>
      </c>
      <c r="G122" s="14" t="s">
        <v>31</v>
      </c>
      <c r="H122" s="6">
        <v>0</v>
      </c>
      <c r="I122" s="6">
        <v>57</v>
      </c>
      <c r="J122" s="6">
        <f t="shared" si="61"/>
        <v>2291</v>
      </c>
      <c r="K122" s="6"/>
      <c r="L122" s="6">
        <v>1567</v>
      </c>
      <c r="M122" s="6"/>
      <c r="N122" s="6">
        <v>724</v>
      </c>
      <c r="O122" s="6"/>
      <c r="P122" s="6">
        <v>1160</v>
      </c>
      <c r="Q122" s="6">
        <v>58</v>
      </c>
      <c r="R122" s="6">
        <v>0</v>
      </c>
      <c r="S122" s="6">
        <v>0</v>
      </c>
      <c r="T122" s="6">
        <v>0</v>
      </c>
      <c r="U122" s="14" t="s">
        <v>32</v>
      </c>
      <c r="V122" s="14"/>
      <c r="W122" s="6">
        <v>8</v>
      </c>
      <c r="X122" s="6">
        <v>5.8</v>
      </c>
      <c r="Y122" s="15">
        <f t="shared" si="70"/>
        <v>0.12083333333333333</v>
      </c>
      <c r="Z122" s="16">
        <f t="shared" si="62"/>
        <v>0.72499999999999998</v>
      </c>
      <c r="AA122" s="16"/>
      <c r="AB122" s="16"/>
      <c r="AC122" s="13">
        <f t="shared" si="63"/>
        <v>10</v>
      </c>
      <c r="AD122" s="13">
        <f t="shared" si="64"/>
        <v>0</v>
      </c>
      <c r="AE122" s="13">
        <f t="shared" si="65"/>
        <v>395</v>
      </c>
      <c r="AF122" s="12"/>
      <c r="AG122" s="12">
        <f t="shared" si="53"/>
        <v>124.82758620689656</v>
      </c>
      <c r="AH122" s="12">
        <f t="shared" si="45"/>
        <v>0</v>
      </c>
      <c r="AI122" s="12">
        <f t="shared" si="46"/>
        <v>0</v>
      </c>
      <c r="AJ122" s="12">
        <f t="shared" si="47"/>
        <v>0.19462365591397848</v>
      </c>
      <c r="AK122" s="12">
        <f t="shared" si="48"/>
        <v>0</v>
      </c>
      <c r="AL122" s="12">
        <f t="shared" si="49"/>
        <v>0.19462365591397848</v>
      </c>
      <c r="AM122" s="13">
        <f t="shared" si="66"/>
        <v>0</v>
      </c>
      <c r="AN122" s="13">
        <f t="shared" si="67"/>
        <v>200</v>
      </c>
      <c r="AO122" s="13">
        <f t="shared" si="71"/>
        <v>0</v>
      </c>
      <c r="AP122" s="13">
        <f t="shared" si="72"/>
        <v>0</v>
      </c>
      <c r="AQ122" s="12">
        <f t="shared" si="68"/>
        <v>3509</v>
      </c>
      <c r="AR122" s="13">
        <f t="shared" si="73"/>
        <v>605</v>
      </c>
      <c r="AS122" s="17" t="s">
        <v>259</v>
      </c>
    </row>
    <row r="123" spans="1:45" x14ac:dyDescent="0.25">
      <c r="A123" s="22">
        <v>45576</v>
      </c>
      <c r="B123" s="10" t="str">
        <f t="shared" si="59"/>
        <v>2024</v>
      </c>
      <c r="C123" s="10" t="str">
        <f t="shared" si="60"/>
        <v>October</v>
      </c>
      <c r="D123" s="10"/>
      <c r="E123" s="11">
        <v>573</v>
      </c>
      <c r="F123" s="12">
        <f t="shared" si="69"/>
        <v>6876</v>
      </c>
      <c r="G123" s="14" t="s">
        <v>31</v>
      </c>
      <c r="H123" s="6">
        <v>0</v>
      </c>
      <c r="I123" s="6">
        <v>57</v>
      </c>
      <c r="J123" s="6">
        <f t="shared" si="61"/>
        <v>4248</v>
      </c>
      <c r="K123" s="6"/>
      <c r="L123" s="6">
        <v>2925</v>
      </c>
      <c r="M123" s="6"/>
      <c r="N123" s="6">
        <v>1323</v>
      </c>
      <c r="O123" s="6"/>
      <c r="P123" s="6">
        <v>2080</v>
      </c>
      <c r="Q123" s="6">
        <v>104</v>
      </c>
      <c r="R123" s="6">
        <v>0</v>
      </c>
      <c r="S123" s="6">
        <v>0</v>
      </c>
      <c r="T123" s="6">
        <v>0</v>
      </c>
      <c r="U123" s="14" t="s">
        <v>32</v>
      </c>
      <c r="V123" s="14"/>
      <c r="W123" s="6">
        <v>12</v>
      </c>
      <c r="X123" s="6">
        <v>10.4</v>
      </c>
      <c r="Y123" s="15">
        <f t="shared" si="70"/>
        <v>0.14444444444444446</v>
      </c>
      <c r="Z123" s="16">
        <f t="shared" si="62"/>
        <v>0.8666666666666667</v>
      </c>
      <c r="AA123" s="16"/>
      <c r="AB123" s="16"/>
      <c r="AC123" s="13">
        <f t="shared" si="63"/>
        <v>10</v>
      </c>
      <c r="AD123" s="13">
        <f t="shared" si="64"/>
        <v>0</v>
      </c>
      <c r="AE123" s="13">
        <f t="shared" si="65"/>
        <v>408.46153846153845</v>
      </c>
      <c r="AF123" s="12"/>
      <c r="AG123" s="12">
        <f t="shared" si="53"/>
        <v>127.21153846153845</v>
      </c>
      <c r="AH123" s="12">
        <f t="shared" si="45"/>
        <v>0</v>
      </c>
      <c r="AI123" s="12">
        <f t="shared" si="46"/>
        <v>0</v>
      </c>
      <c r="AJ123" s="12">
        <f t="shared" si="47"/>
        <v>0.19240837696335078</v>
      </c>
      <c r="AK123" s="12">
        <f t="shared" si="48"/>
        <v>0</v>
      </c>
      <c r="AL123" s="12">
        <f t="shared" si="49"/>
        <v>0.19240837696335078</v>
      </c>
      <c r="AM123" s="13">
        <f t="shared" si="66"/>
        <v>0</v>
      </c>
      <c r="AN123" s="13">
        <f t="shared" si="67"/>
        <v>200</v>
      </c>
      <c r="AO123" s="13">
        <f t="shared" si="71"/>
        <v>0</v>
      </c>
      <c r="AP123" s="13">
        <f t="shared" si="72"/>
        <v>0</v>
      </c>
      <c r="AQ123" s="12">
        <f t="shared" si="68"/>
        <v>6432</v>
      </c>
      <c r="AR123" s="13">
        <f t="shared" si="73"/>
        <v>618.46153846153845</v>
      </c>
      <c r="AS123" s="17"/>
    </row>
    <row r="124" spans="1:45" x14ac:dyDescent="0.25">
      <c r="A124" s="22">
        <v>45582</v>
      </c>
      <c r="B124" s="10" t="str">
        <f t="shared" si="59"/>
        <v>2024</v>
      </c>
      <c r="C124" s="10" t="str">
        <f t="shared" si="60"/>
        <v>October</v>
      </c>
      <c r="D124" s="10"/>
      <c r="E124" s="11">
        <v>482</v>
      </c>
      <c r="F124" s="12">
        <f t="shared" si="69"/>
        <v>5784</v>
      </c>
      <c r="G124" s="14" t="s">
        <v>31</v>
      </c>
      <c r="H124" s="6">
        <v>0</v>
      </c>
      <c r="I124" s="6">
        <v>57</v>
      </c>
      <c r="J124" s="6">
        <f t="shared" si="61"/>
        <v>3800</v>
      </c>
      <c r="K124" s="6"/>
      <c r="L124" s="6">
        <v>2387</v>
      </c>
      <c r="M124" s="6"/>
      <c r="N124" s="6">
        <v>1413</v>
      </c>
      <c r="O124" s="6"/>
      <c r="P124" s="6">
        <v>1880</v>
      </c>
      <c r="Q124" s="6">
        <v>94</v>
      </c>
      <c r="R124" s="6">
        <v>0</v>
      </c>
      <c r="S124" s="6">
        <v>0</v>
      </c>
      <c r="T124" s="6">
        <v>0</v>
      </c>
      <c r="U124" s="14" t="s">
        <v>32</v>
      </c>
      <c r="V124" s="14"/>
      <c r="W124" s="6">
        <v>12</v>
      </c>
      <c r="X124" s="6">
        <v>9.4</v>
      </c>
      <c r="Y124" s="15">
        <f t="shared" si="70"/>
        <v>0.13055555555555556</v>
      </c>
      <c r="Z124" s="16">
        <f t="shared" si="62"/>
        <v>0.78333333333333333</v>
      </c>
      <c r="AA124" s="16"/>
      <c r="AB124" s="16"/>
      <c r="AC124" s="13">
        <f t="shared" si="63"/>
        <v>10</v>
      </c>
      <c r="AD124" s="13">
        <f t="shared" si="64"/>
        <v>0</v>
      </c>
      <c r="AE124" s="13">
        <f t="shared" si="65"/>
        <v>404.25531914893617</v>
      </c>
      <c r="AF124" s="12"/>
      <c r="AG124" s="12">
        <f t="shared" si="53"/>
        <v>150.31914893617019</v>
      </c>
      <c r="AH124" s="12">
        <f t="shared" si="45"/>
        <v>0</v>
      </c>
      <c r="AI124" s="12">
        <f t="shared" si="46"/>
        <v>0</v>
      </c>
      <c r="AJ124" s="12">
        <f t="shared" si="47"/>
        <v>0.24429460580912862</v>
      </c>
      <c r="AK124" s="12">
        <f t="shared" si="48"/>
        <v>0</v>
      </c>
      <c r="AL124" s="12">
        <f t="shared" si="49"/>
        <v>0.24429460580912862</v>
      </c>
      <c r="AM124" s="13">
        <f t="shared" si="66"/>
        <v>0</v>
      </c>
      <c r="AN124" s="13">
        <f t="shared" si="67"/>
        <v>200</v>
      </c>
      <c r="AO124" s="13">
        <f t="shared" si="71"/>
        <v>0</v>
      </c>
      <c r="AP124" s="13">
        <f t="shared" si="72"/>
        <v>0</v>
      </c>
      <c r="AQ124" s="12">
        <f t="shared" si="68"/>
        <v>5774</v>
      </c>
      <c r="AR124" s="13">
        <f t="shared" si="73"/>
        <v>614.25531914893622</v>
      </c>
      <c r="AS124" s="17" t="s">
        <v>260</v>
      </c>
    </row>
    <row r="125" spans="1:45" x14ac:dyDescent="0.25">
      <c r="A125" s="22">
        <v>45583</v>
      </c>
      <c r="B125" s="10" t="str">
        <f t="shared" si="59"/>
        <v>2024</v>
      </c>
      <c r="C125" s="10" t="str">
        <f t="shared" si="60"/>
        <v>October</v>
      </c>
      <c r="D125" s="10"/>
      <c r="E125" s="11">
        <v>430</v>
      </c>
      <c r="F125" s="12">
        <f t="shared" si="69"/>
        <v>5160</v>
      </c>
      <c r="G125" s="14" t="s">
        <v>31</v>
      </c>
      <c r="H125" s="6">
        <v>0</v>
      </c>
      <c r="I125" s="6">
        <v>57</v>
      </c>
      <c r="J125" s="6">
        <f t="shared" si="61"/>
        <v>3335</v>
      </c>
      <c r="K125" s="6"/>
      <c r="L125" s="6">
        <v>2191</v>
      </c>
      <c r="M125" s="6"/>
      <c r="N125" s="6">
        <v>1144</v>
      </c>
      <c r="O125" s="6"/>
      <c r="P125" s="6">
        <v>1680</v>
      </c>
      <c r="Q125" s="6">
        <v>83</v>
      </c>
      <c r="R125" s="6">
        <v>0</v>
      </c>
      <c r="S125" s="6">
        <v>0</v>
      </c>
      <c r="T125" s="6">
        <v>0</v>
      </c>
      <c r="U125" s="14" t="s">
        <v>32</v>
      </c>
      <c r="V125" s="14"/>
      <c r="W125" s="6">
        <v>12</v>
      </c>
      <c r="X125" s="6">
        <v>8.3000000000000007</v>
      </c>
      <c r="Y125" s="15">
        <f t="shared" si="70"/>
        <v>0.11527777777777778</v>
      </c>
      <c r="Z125" s="16">
        <f t="shared" si="62"/>
        <v>0.69166666666666676</v>
      </c>
      <c r="AA125" s="16"/>
      <c r="AB125" s="16"/>
      <c r="AC125" s="13">
        <f t="shared" si="63"/>
        <v>10</v>
      </c>
      <c r="AD125" s="13">
        <f t="shared" si="64"/>
        <v>0</v>
      </c>
      <c r="AE125" s="13">
        <f t="shared" si="65"/>
        <v>401.80722891566262</v>
      </c>
      <c r="AF125" s="12"/>
      <c r="AG125" s="12">
        <f t="shared" si="53"/>
        <v>137.8313253012048</v>
      </c>
      <c r="AH125" s="12">
        <f t="shared" si="45"/>
        <v>0</v>
      </c>
      <c r="AI125" s="12">
        <f t="shared" si="46"/>
        <v>0</v>
      </c>
      <c r="AJ125" s="12">
        <f t="shared" si="47"/>
        <v>0.22170542635658916</v>
      </c>
      <c r="AK125" s="12">
        <f t="shared" si="48"/>
        <v>0</v>
      </c>
      <c r="AL125" s="12">
        <f t="shared" si="49"/>
        <v>0.22170542635658916</v>
      </c>
      <c r="AM125" s="13">
        <f t="shared" si="66"/>
        <v>0</v>
      </c>
      <c r="AN125" s="13">
        <f t="shared" si="67"/>
        <v>202.40963855421685</v>
      </c>
      <c r="AO125" s="13">
        <f t="shared" si="71"/>
        <v>0</v>
      </c>
      <c r="AP125" s="13">
        <f t="shared" si="72"/>
        <v>0</v>
      </c>
      <c r="AQ125" s="12">
        <f t="shared" si="68"/>
        <v>5098</v>
      </c>
      <c r="AR125" s="13">
        <f t="shared" si="73"/>
        <v>614.2168674698795</v>
      </c>
      <c r="AS125" s="17" t="s">
        <v>261</v>
      </c>
    </row>
    <row r="126" spans="1:45" x14ac:dyDescent="0.25">
      <c r="A126" s="22">
        <v>45586</v>
      </c>
      <c r="B126" s="10" t="str">
        <f t="shared" si="59"/>
        <v>2024</v>
      </c>
      <c r="C126" s="10" t="str">
        <f t="shared" si="60"/>
        <v>October</v>
      </c>
      <c r="D126" s="10"/>
      <c r="E126" s="11">
        <v>292</v>
      </c>
      <c r="F126" s="12">
        <f t="shared" si="69"/>
        <v>3504</v>
      </c>
      <c r="G126" s="14" t="s">
        <v>31</v>
      </c>
      <c r="H126" s="6">
        <v>0</v>
      </c>
      <c r="I126" s="6">
        <v>57</v>
      </c>
      <c r="J126" s="6">
        <f t="shared" si="61"/>
        <v>2322</v>
      </c>
      <c r="K126" s="6"/>
      <c r="L126" s="6">
        <v>1594</v>
      </c>
      <c r="M126" s="6"/>
      <c r="N126" s="6">
        <v>728</v>
      </c>
      <c r="O126" s="6"/>
      <c r="P126" s="6">
        <v>2000</v>
      </c>
      <c r="Q126" s="6">
        <v>52</v>
      </c>
      <c r="R126" s="6">
        <v>0</v>
      </c>
      <c r="S126" s="6">
        <v>0</v>
      </c>
      <c r="T126" s="6">
        <v>0</v>
      </c>
      <c r="U126" s="14" t="s">
        <v>32</v>
      </c>
      <c r="V126" s="14"/>
      <c r="W126" s="6">
        <v>8</v>
      </c>
      <c r="X126" s="6">
        <v>5.2</v>
      </c>
      <c r="Y126" s="15">
        <f t="shared" si="70"/>
        <v>0.10833333333333334</v>
      </c>
      <c r="Z126" s="16">
        <f t="shared" si="62"/>
        <v>0.65</v>
      </c>
      <c r="AA126" s="16"/>
      <c r="AB126" s="16"/>
      <c r="AC126" s="13">
        <f t="shared" si="63"/>
        <v>10</v>
      </c>
      <c r="AD126" s="13">
        <f t="shared" si="64"/>
        <v>0</v>
      </c>
      <c r="AE126" s="13">
        <f t="shared" si="65"/>
        <v>446.53846153846155</v>
      </c>
      <c r="AF126" s="12"/>
      <c r="AG126" s="12">
        <f t="shared" si="53"/>
        <v>140</v>
      </c>
      <c r="AH126" s="12">
        <f t="shared" si="45"/>
        <v>0</v>
      </c>
      <c r="AI126" s="12">
        <f t="shared" si="46"/>
        <v>0</v>
      </c>
      <c r="AJ126" s="12">
        <f t="shared" si="47"/>
        <v>0.20776255707762556</v>
      </c>
      <c r="AK126" s="12">
        <f t="shared" si="48"/>
        <v>0</v>
      </c>
      <c r="AL126" s="12">
        <f t="shared" si="49"/>
        <v>0.20776255707762556</v>
      </c>
      <c r="AM126" s="13">
        <f t="shared" si="66"/>
        <v>0</v>
      </c>
      <c r="AN126" s="13">
        <f t="shared" si="67"/>
        <v>384.61538461538458</v>
      </c>
      <c r="AO126" s="13">
        <f t="shared" si="71"/>
        <v>0</v>
      </c>
      <c r="AP126" s="13">
        <f t="shared" si="72"/>
        <v>0</v>
      </c>
      <c r="AQ126" s="12">
        <f t="shared" si="68"/>
        <v>4374</v>
      </c>
      <c r="AR126" s="13">
        <f t="shared" si="73"/>
        <v>841.15384615384619</v>
      </c>
      <c r="AS126" s="17" t="s">
        <v>262</v>
      </c>
    </row>
    <row r="127" spans="1:45" x14ac:dyDescent="0.25">
      <c r="A127" s="22">
        <v>45589</v>
      </c>
      <c r="B127" s="10" t="str">
        <f t="shared" si="59"/>
        <v>2024</v>
      </c>
      <c r="C127" s="10" t="str">
        <f t="shared" si="60"/>
        <v>October</v>
      </c>
      <c r="D127" s="10"/>
      <c r="E127" s="11">
        <v>446</v>
      </c>
      <c r="F127" s="12">
        <f t="shared" si="69"/>
        <v>5352</v>
      </c>
      <c r="G127" s="14" t="s">
        <v>31</v>
      </c>
      <c r="H127" s="6">
        <v>0</v>
      </c>
      <c r="I127" s="6">
        <v>57</v>
      </c>
      <c r="J127" s="6">
        <f t="shared" si="61"/>
        <v>3724</v>
      </c>
      <c r="K127" s="6"/>
      <c r="L127" s="6">
        <v>2543</v>
      </c>
      <c r="M127" s="6"/>
      <c r="N127" s="6">
        <v>1181</v>
      </c>
      <c r="O127" s="6"/>
      <c r="P127" s="6">
        <v>1900</v>
      </c>
      <c r="Q127" s="6">
        <v>95</v>
      </c>
      <c r="R127" s="6">
        <v>0</v>
      </c>
      <c r="S127" s="6">
        <v>0</v>
      </c>
      <c r="T127" s="6">
        <v>0</v>
      </c>
      <c r="U127" s="14" t="s">
        <v>32</v>
      </c>
      <c r="V127" s="14"/>
      <c r="W127" s="6">
        <v>12</v>
      </c>
      <c r="X127" s="6">
        <v>9.5</v>
      </c>
      <c r="Y127" s="15">
        <f t="shared" si="70"/>
        <v>0.13194444444444445</v>
      </c>
      <c r="Z127" s="16">
        <f t="shared" si="62"/>
        <v>0.79166666666666663</v>
      </c>
      <c r="AA127" s="16"/>
      <c r="AB127" s="16"/>
      <c r="AC127" s="13">
        <f t="shared" si="63"/>
        <v>10</v>
      </c>
      <c r="AD127" s="13">
        <f t="shared" si="64"/>
        <v>0</v>
      </c>
      <c r="AE127" s="13">
        <f t="shared" si="65"/>
        <v>392</v>
      </c>
      <c r="AF127" s="12"/>
      <c r="AG127" s="12">
        <f t="shared" si="53"/>
        <v>124.31578947368421</v>
      </c>
      <c r="AH127" s="12">
        <f t="shared" si="45"/>
        <v>0</v>
      </c>
      <c r="AI127" s="12">
        <f t="shared" si="46"/>
        <v>0</v>
      </c>
      <c r="AJ127" s="12">
        <f t="shared" si="47"/>
        <v>0.22066517189835574</v>
      </c>
      <c r="AK127" s="12">
        <f t="shared" si="48"/>
        <v>0</v>
      </c>
      <c r="AL127" s="12">
        <f t="shared" si="49"/>
        <v>0.22066517189835574</v>
      </c>
      <c r="AM127" s="13">
        <f t="shared" si="66"/>
        <v>0</v>
      </c>
      <c r="AN127" s="13">
        <f t="shared" si="67"/>
        <v>200</v>
      </c>
      <c r="AO127" s="13">
        <f t="shared" si="71"/>
        <v>0</v>
      </c>
      <c r="AP127" s="13">
        <f t="shared" si="72"/>
        <v>0</v>
      </c>
      <c r="AQ127" s="12">
        <f t="shared" si="68"/>
        <v>5719</v>
      </c>
      <c r="AR127" s="13">
        <f t="shared" si="73"/>
        <v>602</v>
      </c>
      <c r="AS127" s="17" t="s">
        <v>263</v>
      </c>
    </row>
    <row r="128" spans="1:45" x14ac:dyDescent="0.25">
      <c r="A128" s="22">
        <v>45590</v>
      </c>
      <c r="B128" s="10" t="str">
        <f t="shared" si="59"/>
        <v>2024</v>
      </c>
      <c r="C128" s="10" t="str">
        <f t="shared" si="60"/>
        <v>October</v>
      </c>
      <c r="D128" s="10"/>
      <c r="E128" s="11">
        <v>463</v>
      </c>
      <c r="F128" s="12">
        <f t="shared" si="69"/>
        <v>5556</v>
      </c>
      <c r="G128" s="14" t="s">
        <v>31</v>
      </c>
      <c r="H128" s="6">
        <v>0</v>
      </c>
      <c r="I128" s="6">
        <v>57</v>
      </c>
      <c r="J128" s="6">
        <f t="shared" si="61"/>
        <v>3485</v>
      </c>
      <c r="K128" s="6"/>
      <c r="L128" s="6">
        <v>2464</v>
      </c>
      <c r="M128" s="6"/>
      <c r="N128" s="6">
        <v>1021</v>
      </c>
      <c r="O128" s="6"/>
      <c r="P128" s="6">
        <v>1780</v>
      </c>
      <c r="Q128" s="6">
        <v>89</v>
      </c>
      <c r="R128" s="6">
        <v>0</v>
      </c>
      <c r="S128" s="6">
        <v>0</v>
      </c>
      <c r="T128" s="6">
        <v>0</v>
      </c>
      <c r="U128" s="14" t="s">
        <v>32</v>
      </c>
      <c r="V128" s="14"/>
      <c r="W128" s="6">
        <v>12</v>
      </c>
      <c r="X128" s="6">
        <v>8.9</v>
      </c>
      <c r="Y128" s="15">
        <f t="shared" si="70"/>
        <v>0.12361111111111112</v>
      </c>
      <c r="Z128" s="16">
        <f t="shared" si="62"/>
        <v>0.7416666666666667</v>
      </c>
      <c r="AA128" s="16"/>
      <c r="AB128" s="16"/>
      <c r="AC128" s="13">
        <f t="shared" si="63"/>
        <v>10</v>
      </c>
      <c r="AD128" s="13">
        <f t="shared" si="64"/>
        <v>0</v>
      </c>
      <c r="AE128" s="13">
        <f t="shared" si="65"/>
        <v>391.57303370786514</v>
      </c>
      <c r="AF128" s="12"/>
      <c r="AG128" s="12">
        <f t="shared" si="53"/>
        <v>114.71910112359551</v>
      </c>
      <c r="AH128" s="12">
        <f t="shared" si="45"/>
        <v>0</v>
      </c>
      <c r="AI128" s="12">
        <f t="shared" si="46"/>
        <v>0</v>
      </c>
      <c r="AJ128" s="12">
        <f t="shared" si="47"/>
        <v>0.1837652987760979</v>
      </c>
      <c r="AK128" s="12">
        <f t="shared" si="48"/>
        <v>0</v>
      </c>
      <c r="AL128" s="12">
        <f t="shared" si="49"/>
        <v>0.1837652987760979</v>
      </c>
      <c r="AM128" s="13">
        <f t="shared" si="66"/>
        <v>0</v>
      </c>
      <c r="AN128" s="13">
        <f t="shared" si="67"/>
        <v>200</v>
      </c>
      <c r="AO128" s="13">
        <f t="shared" si="71"/>
        <v>0</v>
      </c>
      <c r="AP128" s="13">
        <f t="shared" si="72"/>
        <v>0</v>
      </c>
      <c r="AQ128" s="12">
        <f t="shared" si="68"/>
        <v>5354</v>
      </c>
      <c r="AR128" s="13">
        <f t="shared" si="73"/>
        <v>601.57303370786508</v>
      </c>
      <c r="AS128" s="17" t="s">
        <v>264</v>
      </c>
    </row>
    <row r="129" spans="1:45" x14ac:dyDescent="0.25">
      <c r="A129" s="22">
        <v>45594</v>
      </c>
      <c r="B129" s="10" t="str">
        <f t="shared" si="59"/>
        <v>2024</v>
      </c>
      <c r="C129" s="10" t="str">
        <f t="shared" si="60"/>
        <v>October</v>
      </c>
      <c r="D129" s="10"/>
      <c r="E129" s="11">
        <v>293</v>
      </c>
      <c r="F129" s="12">
        <f t="shared" si="69"/>
        <v>3516</v>
      </c>
      <c r="G129" s="14" t="s">
        <v>31</v>
      </c>
      <c r="H129" s="6">
        <v>0</v>
      </c>
      <c r="I129" s="6">
        <v>57</v>
      </c>
      <c r="J129" s="6">
        <f t="shared" si="61"/>
        <v>2256</v>
      </c>
      <c r="K129" s="6"/>
      <c r="L129" s="6">
        <v>1602</v>
      </c>
      <c r="M129" s="6"/>
      <c r="N129" s="6">
        <v>654</v>
      </c>
      <c r="O129" s="6"/>
      <c r="P129" s="6">
        <v>1140</v>
      </c>
      <c r="Q129" s="6">
        <v>57</v>
      </c>
      <c r="R129" s="6">
        <v>0</v>
      </c>
      <c r="S129" s="6">
        <v>0</v>
      </c>
      <c r="T129" s="6">
        <v>0</v>
      </c>
      <c r="U129" s="14" t="s">
        <v>32</v>
      </c>
      <c r="V129" s="14"/>
      <c r="W129" s="6">
        <v>6</v>
      </c>
      <c r="X129" s="6">
        <v>5.7</v>
      </c>
      <c r="Y129" s="15">
        <f t="shared" si="70"/>
        <v>0.15833333333333333</v>
      </c>
      <c r="Z129" s="16">
        <f t="shared" si="62"/>
        <v>0.95000000000000007</v>
      </c>
      <c r="AA129" s="16"/>
      <c r="AB129" s="16"/>
      <c r="AC129" s="13">
        <f t="shared" si="63"/>
        <v>10</v>
      </c>
      <c r="AD129" s="13">
        <f t="shared" si="64"/>
        <v>0</v>
      </c>
      <c r="AE129" s="13">
        <f t="shared" si="65"/>
        <v>395.78947368421052</v>
      </c>
      <c r="AF129" s="12"/>
      <c r="AG129" s="12">
        <f t="shared" si="53"/>
        <v>114.73684210526315</v>
      </c>
      <c r="AH129" s="12">
        <f t="shared" si="45"/>
        <v>0</v>
      </c>
      <c r="AI129" s="12">
        <f t="shared" si="46"/>
        <v>0</v>
      </c>
      <c r="AJ129" s="12">
        <f t="shared" si="47"/>
        <v>0.18600682593856654</v>
      </c>
      <c r="AK129" s="12">
        <f t="shared" si="48"/>
        <v>0</v>
      </c>
      <c r="AL129" s="12">
        <f t="shared" si="49"/>
        <v>0.18600682593856654</v>
      </c>
      <c r="AM129" s="13">
        <f t="shared" si="66"/>
        <v>0</v>
      </c>
      <c r="AN129" s="13">
        <f t="shared" si="67"/>
        <v>200</v>
      </c>
      <c r="AO129" s="13">
        <f t="shared" si="71"/>
        <v>0</v>
      </c>
      <c r="AP129" s="13">
        <f t="shared" si="72"/>
        <v>0</v>
      </c>
      <c r="AQ129" s="12">
        <f t="shared" si="68"/>
        <v>3453</v>
      </c>
      <c r="AR129" s="13">
        <f t="shared" si="73"/>
        <v>605.78947368421052</v>
      </c>
      <c r="AS129" s="17" t="s">
        <v>265</v>
      </c>
    </row>
    <row r="130" spans="1:45" x14ac:dyDescent="0.25">
      <c r="A130" s="22">
        <v>45595</v>
      </c>
      <c r="B130" s="10" t="str">
        <f t="shared" ref="B130:B161" si="74">TEXT(A130,"YYYY")</f>
        <v>2024</v>
      </c>
      <c r="C130" s="10" t="str">
        <f t="shared" ref="C130:C141" si="75">TEXT(A130,"MMMM")</f>
        <v>October</v>
      </c>
      <c r="D130" s="10"/>
      <c r="E130" s="11">
        <v>492</v>
      </c>
      <c r="F130" s="12">
        <f t="shared" si="69"/>
        <v>5904</v>
      </c>
      <c r="G130" s="14" t="s">
        <v>31</v>
      </c>
      <c r="H130" s="6">
        <v>0</v>
      </c>
      <c r="I130" s="6">
        <v>57</v>
      </c>
      <c r="J130" s="6">
        <f t="shared" ref="J130:J136" si="76">L130+N130</f>
        <v>3786</v>
      </c>
      <c r="K130" s="6"/>
      <c r="L130" s="6">
        <v>2675</v>
      </c>
      <c r="M130" s="6"/>
      <c r="N130" s="6">
        <v>1111</v>
      </c>
      <c r="O130" s="6"/>
      <c r="P130" s="6">
        <v>1900</v>
      </c>
      <c r="Q130" s="6">
        <v>95</v>
      </c>
      <c r="R130" s="6">
        <v>0</v>
      </c>
      <c r="S130" s="6">
        <v>0</v>
      </c>
      <c r="T130" s="6">
        <v>0</v>
      </c>
      <c r="U130" s="14" t="s">
        <v>32</v>
      </c>
      <c r="V130" s="14"/>
      <c r="W130" s="6">
        <v>10.5</v>
      </c>
      <c r="X130" s="6">
        <v>9.5</v>
      </c>
      <c r="Y130" s="15">
        <f t="shared" si="70"/>
        <v>0.15079365079365079</v>
      </c>
      <c r="Z130" s="16">
        <f t="shared" ref="Z130:Z137" si="77">X130/W130</f>
        <v>0.90476190476190477</v>
      </c>
      <c r="AA130" s="16"/>
      <c r="AB130" s="16"/>
      <c r="AC130" s="13">
        <f t="shared" ref="AC130:AC137" si="78">Q130/X130</f>
        <v>10</v>
      </c>
      <c r="AD130" s="13">
        <f t="shared" ref="AD130:AD137" si="79">H130/X130</f>
        <v>0</v>
      </c>
      <c r="AE130" s="13">
        <f t="shared" ref="AE130:AE137" si="80">J130/X130</f>
        <v>398.5263157894737</v>
      </c>
      <c r="AF130" s="12"/>
      <c r="AG130" s="12">
        <f t="shared" ref="AG130:AG209" si="81">IF(X130="","",IF(X130=0,"",N130/X130))</f>
        <v>116.94736842105263</v>
      </c>
      <c r="AH130" s="12">
        <f t="shared" ref="AH130:AH210" si="82">IF(X130="","",IF(X130=0,"",O130/X130))</f>
        <v>0</v>
      </c>
      <c r="AI130" s="12">
        <f t="shared" ref="AI130:AI210" si="83">IF(X130="","",IF(X130=0,"",M130/F130))</f>
        <v>0</v>
      </c>
      <c r="AJ130" s="12">
        <f t="shared" ref="AJ130:AJ210" si="84">IF(X130="","",IF(X130=0,"",N130/F130))</f>
        <v>0.18817750677506775</v>
      </c>
      <c r="AK130" s="12">
        <f t="shared" ref="AK130:AK210" si="85">IF(X130="","",IF(X130=0,"",O130/F130))</f>
        <v>0</v>
      </c>
      <c r="AL130" s="12">
        <f t="shared" ref="AL130:AL210" si="86">AI130+AJ130+AK130</f>
        <v>0.18817750677506775</v>
      </c>
      <c r="AM130" s="13">
        <f t="shared" ref="AM130:AM137" si="87">R130/X130</f>
        <v>0</v>
      </c>
      <c r="AN130" s="13">
        <f t="shared" ref="AN130:AN137" si="88">P130/X130</f>
        <v>200</v>
      </c>
      <c r="AO130" s="13">
        <f t="shared" si="71"/>
        <v>0</v>
      </c>
      <c r="AP130" s="13">
        <f t="shared" si="72"/>
        <v>0</v>
      </c>
      <c r="AQ130" s="12">
        <f t="shared" ref="AQ130:AQ137" si="89">R130+Q130+P130+J130+H130</f>
        <v>5781</v>
      </c>
      <c r="AR130" s="13">
        <f t="shared" si="73"/>
        <v>608.52631578947376</v>
      </c>
      <c r="AS130" s="17" t="s">
        <v>266</v>
      </c>
    </row>
    <row r="131" spans="1:45" x14ac:dyDescent="0.25">
      <c r="A131" s="22">
        <v>45596</v>
      </c>
      <c r="B131" s="10" t="str">
        <f t="shared" si="74"/>
        <v>2024</v>
      </c>
      <c r="C131" s="10" t="str">
        <f t="shared" si="75"/>
        <v>October</v>
      </c>
      <c r="D131" s="10"/>
      <c r="E131" s="11">
        <v>370</v>
      </c>
      <c r="F131" s="12">
        <f t="shared" si="69"/>
        <v>4440</v>
      </c>
      <c r="G131" s="14" t="s">
        <v>31</v>
      </c>
      <c r="H131" s="6">
        <v>0</v>
      </c>
      <c r="I131" s="6">
        <v>57</v>
      </c>
      <c r="J131" s="6">
        <f t="shared" si="76"/>
        <v>2935</v>
      </c>
      <c r="K131" s="6"/>
      <c r="L131" s="6">
        <v>2042</v>
      </c>
      <c r="M131" s="6"/>
      <c r="N131" s="6">
        <v>893</v>
      </c>
      <c r="O131" s="6"/>
      <c r="P131" s="6">
        <v>1450</v>
      </c>
      <c r="Q131" s="6">
        <v>73</v>
      </c>
      <c r="R131" s="6">
        <v>0</v>
      </c>
      <c r="S131" s="6">
        <v>0</v>
      </c>
      <c r="T131" s="6">
        <v>0</v>
      </c>
      <c r="U131" s="14" t="s">
        <v>32</v>
      </c>
      <c r="V131" s="14"/>
      <c r="W131" s="6">
        <v>7.75</v>
      </c>
      <c r="X131" s="6">
        <v>7.25</v>
      </c>
      <c r="Y131" s="15">
        <f t="shared" si="70"/>
        <v>0.15591397849462366</v>
      </c>
      <c r="Z131" s="16">
        <f t="shared" si="77"/>
        <v>0.93548387096774188</v>
      </c>
      <c r="AA131" s="16"/>
      <c r="AB131" s="16"/>
      <c r="AC131" s="13">
        <f t="shared" si="78"/>
        <v>10.068965517241379</v>
      </c>
      <c r="AD131" s="13">
        <f t="shared" si="79"/>
        <v>0</v>
      </c>
      <c r="AE131" s="13">
        <f t="shared" si="80"/>
        <v>404.82758620689657</v>
      </c>
      <c r="AF131" s="12"/>
      <c r="AG131" s="12">
        <f t="shared" si="81"/>
        <v>123.17241379310344</v>
      </c>
      <c r="AH131" s="12">
        <f t="shared" si="82"/>
        <v>0</v>
      </c>
      <c r="AI131" s="12">
        <f t="shared" si="83"/>
        <v>0</v>
      </c>
      <c r="AJ131" s="12">
        <f t="shared" si="84"/>
        <v>0.20112612612612613</v>
      </c>
      <c r="AK131" s="12">
        <f t="shared" si="85"/>
        <v>0</v>
      </c>
      <c r="AL131" s="12">
        <f t="shared" si="86"/>
        <v>0.20112612612612613</v>
      </c>
      <c r="AM131" s="13">
        <f t="shared" si="87"/>
        <v>0</v>
      </c>
      <c r="AN131" s="13">
        <f t="shared" si="88"/>
        <v>200</v>
      </c>
      <c r="AO131" s="13">
        <f t="shared" si="71"/>
        <v>0</v>
      </c>
      <c r="AP131" s="13">
        <f t="shared" si="72"/>
        <v>0</v>
      </c>
      <c r="AQ131" s="12">
        <f t="shared" si="89"/>
        <v>4458</v>
      </c>
      <c r="AR131" s="13">
        <f t="shared" si="73"/>
        <v>614.89655172413791</v>
      </c>
      <c r="AS131" s="17" t="s">
        <v>267</v>
      </c>
    </row>
    <row r="132" spans="1:45" x14ac:dyDescent="0.25">
      <c r="A132" s="22">
        <v>45602</v>
      </c>
      <c r="B132" s="10" t="str">
        <f t="shared" si="74"/>
        <v>2024</v>
      </c>
      <c r="C132" s="10" t="str">
        <f t="shared" si="75"/>
        <v>November</v>
      </c>
      <c r="D132" s="10"/>
      <c r="E132" s="11">
        <v>186</v>
      </c>
      <c r="F132" s="12">
        <f t="shared" ref="F132:F163" si="90">E132*12</f>
        <v>2232</v>
      </c>
      <c r="G132" s="14" t="s">
        <v>31</v>
      </c>
      <c r="H132" s="6">
        <v>0</v>
      </c>
      <c r="I132" s="6">
        <v>57</v>
      </c>
      <c r="J132" s="6">
        <f t="shared" si="76"/>
        <v>1120</v>
      </c>
      <c r="K132" s="6"/>
      <c r="L132" s="6">
        <v>1120</v>
      </c>
      <c r="M132" s="6"/>
      <c r="N132" s="6">
        <v>0</v>
      </c>
      <c r="O132" s="6"/>
      <c r="P132" s="6">
        <v>740</v>
      </c>
      <c r="Q132" s="6">
        <v>0</v>
      </c>
      <c r="R132" s="6">
        <v>946</v>
      </c>
      <c r="S132" s="6">
        <v>0</v>
      </c>
      <c r="T132" s="6">
        <v>0</v>
      </c>
      <c r="U132" s="14" t="s">
        <v>32</v>
      </c>
      <c r="V132" s="14"/>
      <c r="W132" s="6">
        <v>10</v>
      </c>
      <c r="X132" s="6">
        <v>3.7</v>
      </c>
      <c r="Y132" s="15">
        <f t="shared" si="70"/>
        <v>6.1666666666666668E-2</v>
      </c>
      <c r="Z132" s="16">
        <f t="shared" si="77"/>
        <v>0.37</v>
      </c>
      <c r="AA132" s="16"/>
      <c r="AB132" s="16"/>
      <c r="AC132" s="13">
        <f t="shared" si="78"/>
        <v>0</v>
      </c>
      <c r="AD132" s="13">
        <f t="shared" si="79"/>
        <v>0</v>
      </c>
      <c r="AE132" s="13">
        <f t="shared" si="80"/>
        <v>302.70270270270271</v>
      </c>
      <c r="AF132" s="12"/>
      <c r="AG132" s="12"/>
      <c r="AH132" s="12">
        <f t="shared" si="82"/>
        <v>0</v>
      </c>
      <c r="AI132" s="12">
        <f t="shared" si="83"/>
        <v>0</v>
      </c>
      <c r="AJ132" s="12">
        <f t="shared" si="84"/>
        <v>0</v>
      </c>
      <c r="AK132" s="12">
        <f t="shared" si="85"/>
        <v>0</v>
      </c>
      <c r="AL132" s="12">
        <f t="shared" si="86"/>
        <v>0</v>
      </c>
      <c r="AM132" s="13">
        <f t="shared" si="87"/>
        <v>255.67567567567568</v>
      </c>
      <c r="AN132" s="13">
        <f t="shared" si="88"/>
        <v>200</v>
      </c>
      <c r="AO132" s="13">
        <f t="shared" si="71"/>
        <v>0</v>
      </c>
      <c r="AP132" s="13">
        <f t="shared" si="72"/>
        <v>0</v>
      </c>
      <c r="AQ132" s="12">
        <f t="shared" si="89"/>
        <v>2806</v>
      </c>
      <c r="AR132" s="13">
        <f t="shared" si="73"/>
        <v>758.37837837837833</v>
      </c>
      <c r="AS132" s="17" t="s">
        <v>268</v>
      </c>
    </row>
    <row r="133" spans="1:45" x14ac:dyDescent="0.25">
      <c r="A133" s="22">
        <v>45603</v>
      </c>
      <c r="B133" s="10" t="str">
        <f t="shared" si="74"/>
        <v>2024</v>
      </c>
      <c r="C133" s="10" t="str">
        <f t="shared" si="75"/>
        <v>November</v>
      </c>
      <c r="D133" s="10"/>
      <c r="E133" s="11">
        <v>516</v>
      </c>
      <c r="F133" s="12">
        <f t="shared" si="90"/>
        <v>6192</v>
      </c>
      <c r="G133" s="14" t="s">
        <v>31</v>
      </c>
      <c r="H133" s="6">
        <v>0</v>
      </c>
      <c r="I133" s="6">
        <v>57</v>
      </c>
      <c r="J133" s="6">
        <f t="shared" si="76"/>
        <v>2847</v>
      </c>
      <c r="K133" s="6"/>
      <c r="L133" s="6">
        <v>2847</v>
      </c>
      <c r="M133" s="6"/>
      <c r="N133" s="6">
        <v>0</v>
      </c>
      <c r="O133" s="6"/>
      <c r="P133" s="6">
        <v>1715</v>
      </c>
      <c r="Q133" s="6">
        <v>0</v>
      </c>
      <c r="R133" s="6">
        <v>2255</v>
      </c>
      <c r="S133" s="6">
        <v>0</v>
      </c>
      <c r="T133" s="6">
        <v>0</v>
      </c>
      <c r="U133" s="14" t="s">
        <v>32</v>
      </c>
      <c r="V133" s="14"/>
      <c r="W133" s="6">
        <v>12</v>
      </c>
      <c r="X133" s="6">
        <v>9.8000000000000007</v>
      </c>
      <c r="Y133" s="15">
        <f t="shared" si="70"/>
        <v>0.13611111111111113</v>
      </c>
      <c r="Z133" s="16">
        <f t="shared" si="77"/>
        <v>0.81666666666666676</v>
      </c>
      <c r="AA133" s="16"/>
      <c r="AB133" s="16"/>
      <c r="AC133" s="13">
        <f t="shared" si="78"/>
        <v>0</v>
      </c>
      <c r="AD133" s="13">
        <f t="shared" si="79"/>
        <v>0</v>
      </c>
      <c r="AE133" s="13">
        <f t="shared" si="80"/>
        <v>290.51020408163265</v>
      </c>
      <c r="AF133" s="12"/>
      <c r="AG133" s="12"/>
      <c r="AH133" s="12">
        <f t="shared" si="82"/>
        <v>0</v>
      </c>
      <c r="AI133" s="12">
        <f t="shared" si="83"/>
        <v>0</v>
      </c>
      <c r="AJ133" s="12">
        <f t="shared" si="84"/>
        <v>0</v>
      </c>
      <c r="AK133" s="12">
        <f t="shared" si="85"/>
        <v>0</v>
      </c>
      <c r="AL133" s="12">
        <f t="shared" si="86"/>
        <v>0</v>
      </c>
      <c r="AM133" s="13">
        <f t="shared" si="87"/>
        <v>230.10204081632651</v>
      </c>
      <c r="AN133" s="13">
        <f t="shared" si="88"/>
        <v>175</v>
      </c>
      <c r="AO133" s="13">
        <f t="shared" si="71"/>
        <v>0</v>
      </c>
      <c r="AP133" s="13">
        <f t="shared" si="72"/>
        <v>0</v>
      </c>
      <c r="AQ133" s="12">
        <f t="shared" si="89"/>
        <v>6817</v>
      </c>
      <c r="AR133" s="13">
        <f t="shared" si="73"/>
        <v>695.61224489795916</v>
      </c>
      <c r="AS133" s="17" t="s">
        <v>269</v>
      </c>
    </row>
    <row r="134" spans="1:45" x14ac:dyDescent="0.25">
      <c r="A134" s="22">
        <v>45604</v>
      </c>
      <c r="B134" s="10" t="str">
        <f t="shared" si="74"/>
        <v>2024</v>
      </c>
      <c r="C134" s="10" t="str">
        <f t="shared" si="75"/>
        <v>November</v>
      </c>
      <c r="D134" s="10"/>
      <c r="E134" s="11">
        <v>480</v>
      </c>
      <c r="F134" s="12">
        <f t="shared" si="90"/>
        <v>5760</v>
      </c>
      <c r="G134" s="14" t="s">
        <v>31</v>
      </c>
      <c r="H134" s="6">
        <v>0</v>
      </c>
      <c r="I134" s="6">
        <v>57</v>
      </c>
      <c r="J134" s="6">
        <f t="shared" si="76"/>
        <v>2766</v>
      </c>
      <c r="K134" s="6"/>
      <c r="L134" s="6">
        <v>2766</v>
      </c>
      <c r="M134" s="6"/>
      <c r="N134" s="6">
        <v>0</v>
      </c>
      <c r="O134" s="6"/>
      <c r="P134" s="6">
        <v>1715</v>
      </c>
      <c r="Q134" s="6">
        <v>0</v>
      </c>
      <c r="R134" s="6">
        <v>2403</v>
      </c>
      <c r="S134" s="6">
        <v>0</v>
      </c>
      <c r="T134" s="6">
        <v>0</v>
      </c>
      <c r="U134" s="14" t="s">
        <v>32</v>
      </c>
      <c r="V134" s="14"/>
      <c r="W134" s="6">
        <v>12</v>
      </c>
      <c r="X134" s="6">
        <v>9.6</v>
      </c>
      <c r="Y134" s="15">
        <f t="shared" si="70"/>
        <v>0.13333333333333333</v>
      </c>
      <c r="Z134" s="16">
        <f t="shared" si="77"/>
        <v>0.79999999999999993</v>
      </c>
      <c r="AA134" s="16"/>
      <c r="AB134" s="16"/>
      <c r="AC134" s="13">
        <f t="shared" si="78"/>
        <v>0</v>
      </c>
      <c r="AD134" s="13">
        <f t="shared" si="79"/>
        <v>0</v>
      </c>
      <c r="AE134" s="13">
        <f t="shared" si="80"/>
        <v>288.125</v>
      </c>
      <c r="AF134" s="12"/>
      <c r="AG134" s="12"/>
      <c r="AH134" s="12">
        <f t="shared" si="82"/>
        <v>0</v>
      </c>
      <c r="AI134" s="12">
        <f t="shared" si="83"/>
        <v>0</v>
      </c>
      <c r="AJ134" s="12">
        <f t="shared" si="84"/>
        <v>0</v>
      </c>
      <c r="AK134" s="12">
        <f t="shared" si="85"/>
        <v>0</v>
      </c>
      <c r="AL134" s="12">
        <f t="shared" si="86"/>
        <v>0</v>
      </c>
      <c r="AM134" s="13">
        <f t="shared" si="87"/>
        <v>250.3125</v>
      </c>
      <c r="AN134" s="13">
        <f t="shared" si="88"/>
        <v>178.64583333333334</v>
      </c>
      <c r="AO134" s="13">
        <f t="shared" si="71"/>
        <v>0</v>
      </c>
      <c r="AP134" s="13">
        <f t="shared" si="72"/>
        <v>0</v>
      </c>
      <c r="AQ134" s="12">
        <f t="shared" si="89"/>
        <v>6884</v>
      </c>
      <c r="AR134" s="13">
        <f t="shared" si="73"/>
        <v>717.08333333333337</v>
      </c>
      <c r="AS134" s="17" t="s">
        <v>270</v>
      </c>
    </row>
    <row r="135" spans="1:45" x14ac:dyDescent="0.25">
      <c r="A135" s="22">
        <v>45607</v>
      </c>
      <c r="B135" s="10" t="str">
        <f t="shared" si="74"/>
        <v>2024</v>
      </c>
      <c r="C135" s="10" t="str">
        <f t="shared" si="75"/>
        <v>November</v>
      </c>
      <c r="D135" s="10"/>
      <c r="E135" s="11">
        <v>457</v>
      </c>
      <c r="F135" s="12">
        <f t="shared" si="90"/>
        <v>5484</v>
      </c>
      <c r="G135" s="14" t="s">
        <v>31</v>
      </c>
      <c r="H135" s="6">
        <v>0</v>
      </c>
      <c r="I135" s="6">
        <v>57</v>
      </c>
      <c r="J135" s="6">
        <f t="shared" si="76"/>
        <v>2537</v>
      </c>
      <c r="K135" s="6"/>
      <c r="L135" s="6">
        <v>2537</v>
      </c>
      <c r="M135" s="6"/>
      <c r="N135" s="6">
        <v>0</v>
      </c>
      <c r="O135" s="6"/>
      <c r="P135" s="6">
        <v>1697</v>
      </c>
      <c r="Q135" s="6">
        <v>0</v>
      </c>
      <c r="R135" s="6">
        <v>2453</v>
      </c>
      <c r="S135" s="6">
        <v>0</v>
      </c>
      <c r="T135" s="6">
        <v>0</v>
      </c>
      <c r="U135" s="14" t="s">
        <v>32</v>
      </c>
      <c r="V135" s="14"/>
      <c r="W135" s="6">
        <v>12</v>
      </c>
      <c r="X135" s="6">
        <v>9.6999999999999993</v>
      </c>
      <c r="Y135" s="15">
        <f t="shared" ref="Y135:Y166" si="91">SUM(X135)/(W135*X$2)</f>
        <v>0.13472222222222222</v>
      </c>
      <c r="Z135" s="16">
        <f t="shared" si="77"/>
        <v>0.80833333333333324</v>
      </c>
      <c r="AA135" s="16"/>
      <c r="AB135" s="16"/>
      <c r="AC135" s="13">
        <f t="shared" si="78"/>
        <v>0</v>
      </c>
      <c r="AD135" s="13">
        <f t="shared" si="79"/>
        <v>0</v>
      </c>
      <c r="AE135" s="13">
        <f t="shared" si="80"/>
        <v>261.54639175257734</v>
      </c>
      <c r="AF135" s="12"/>
      <c r="AG135" s="12"/>
      <c r="AH135" s="12">
        <f t="shared" si="82"/>
        <v>0</v>
      </c>
      <c r="AI135" s="12">
        <f t="shared" si="83"/>
        <v>0</v>
      </c>
      <c r="AJ135" s="12">
        <f t="shared" si="84"/>
        <v>0</v>
      </c>
      <c r="AK135" s="12">
        <f t="shared" si="85"/>
        <v>0</v>
      </c>
      <c r="AL135" s="12">
        <f t="shared" si="86"/>
        <v>0</v>
      </c>
      <c r="AM135" s="13">
        <f t="shared" si="87"/>
        <v>252.88659793814435</v>
      </c>
      <c r="AN135" s="13">
        <f t="shared" si="88"/>
        <v>174.94845360824743</v>
      </c>
      <c r="AO135" s="13">
        <f t="shared" si="71"/>
        <v>0</v>
      </c>
      <c r="AP135" s="13">
        <f t="shared" si="72"/>
        <v>0</v>
      </c>
      <c r="AQ135" s="12">
        <f t="shared" si="89"/>
        <v>6687</v>
      </c>
      <c r="AR135" s="13">
        <f t="shared" si="73"/>
        <v>689.38144329896909</v>
      </c>
      <c r="AS135" s="17"/>
    </row>
    <row r="136" spans="1:45" x14ac:dyDescent="0.25">
      <c r="A136" s="22">
        <v>45608</v>
      </c>
      <c r="B136" s="10" t="str">
        <f t="shared" si="74"/>
        <v>2024</v>
      </c>
      <c r="C136" s="10" t="str">
        <f t="shared" si="75"/>
        <v>November</v>
      </c>
      <c r="D136" s="10"/>
      <c r="E136" s="11">
        <v>508</v>
      </c>
      <c r="F136" s="12">
        <f t="shared" si="90"/>
        <v>6096</v>
      </c>
      <c r="G136" s="14" t="s">
        <v>31</v>
      </c>
      <c r="H136" s="6">
        <v>0</v>
      </c>
      <c r="I136" s="6">
        <v>57</v>
      </c>
      <c r="J136" s="6">
        <f t="shared" si="76"/>
        <v>3804</v>
      </c>
      <c r="K136" s="6"/>
      <c r="L136" s="6">
        <v>2691</v>
      </c>
      <c r="M136" s="6"/>
      <c r="N136" s="6">
        <v>1113</v>
      </c>
      <c r="O136" s="6"/>
      <c r="P136" s="6">
        <v>2080</v>
      </c>
      <c r="Q136" s="6">
        <v>70</v>
      </c>
      <c r="R136" s="6">
        <v>896</v>
      </c>
      <c r="S136" s="6">
        <v>0</v>
      </c>
      <c r="T136" s="6">
        <v>0</v>
      </c>
      <c r="U136" s="14" t="s">
        <v>32</v>
      </c>
      <c r="V136" s="14"/>
      <c r="W136" s="6">
        <v>12</v>
      </c>
      <c r="X136" s="6">
        <v>10.4</v>
      </c>
      <c r="Y136" s="15">
        <f t="shared" si="91"/>
        <v>0.14444444444444446</v>
      </c>
      <c r="Z136" s="16">
        <f t="shared" si="77"/>
        <v>0.8666666666666667</v>
      </c>
      <c r="AA136" s="16"/>
      <c r="AB136" s="16"/>
      <c r="AC136" s="13">
        <f t="shared" si="78"/>
        <v>6.7307692307692308</v>
      </c>
      <c r="AD136" s="13">
        <f t="shared" si="79"/>
        <v>0</v>
      </c>
      <c r="AE136" s="13">
        <f t="shared" si="80"/>
        <v>365.76923076923077</v>
      </c>
      <c r="AF136" s="12"/>
      <c r="AG136" s="12">
        <f t="shared" si="81"/>
        <v>107.01923076923076</v>
      </c>
      <c r="AH136" s="12">
        <f t="shared" si="82"/>
        <v>0</v>
      </c>
      <c r="AI136" s="12">
        <f t="shared" si="83"/>
        <v>0</v>
      </c>
      <c r="AJ136" s="12">
        <f t="shared" si="84"/>
        <v>0.18257874015748032</v>
      </c>
      <c r="AK136" s="12">
        <f t="shared" si="85"/>
        <v>0</v>
      </c>
      <c r="AL136" s="12">
        <f t="shared" si="86"/>
        <v>0.18257874015748032</v>
      </c>
      <c r="AM136" s="13">
        <f t="shared" si="87"/>
        <v>86.153846153846146</v>
      </c>
      <c r="AN136" s="13">
        <f t="shared" si="88"/>
        <v>200</v>
      </c>
      <c r="AO136" s="13">
        <f t="shared" si="71"/>
        <v>0</v>
      </c>
      <c r="AP136" s="13">
        <f t="shared" si="72"/>
        <v>0</v>
      </c>
      <c r="AQ136" s="12">
        <f t="shared" si="89"/>
        <v>6850</v>
      </c>
      <c r="AR136" s="13">
        <f t="shared" si="73"/>
        <v>658.65384615384619</v>
      </c>
      <c r="AS136" s="17" t="s">
        <v>271</v>
      </c>
    </row>
    <row r="137" spans="1:45" x14ac:dyDescent="0.25">
      <c r="A137" s="22">
        <v>45657</v>
      </c>
      <c r="B137" s="10" t="str">
        <f t="shared" si="74"/>
        <v>2024</v>
      </c>
      <c r="C137" s="10" t="str">
        <f t="shared" si="75"/>
        <v>December</v>
      </c>
      <c r="D137" s="10"/>
      <c r="E137" s="11">
        <v>319</v>
      </c>
      <c r="F137" s="12">
        <f t="shared" si="90"/>
        <v>3828</v>
      </c>
      <c r="G137" s="14" t="s">
        <v>31</v>
      </c>
      <c r="H137" s="6">
        <v>0</v>
      </c>
      <c r="I137" s="6">
        <v>57</v>
      </c>
      <c r="J137" s="6">
        <f>L137+M137+N137</f>
        <v>2249</v>
      </c>
      <c r="K137" s="6"/>
      <c r="L137" s="6">
        <v>1099</v>
      </c>
      <c r="M137" s="6">
        <v>1150</v>
      </c>
      <c r="N137" s="6">
        <v>0</v>
      </c>
      <c r="O137" s="6"/>
      <c r="P137" s="6">
        <v>650</v>
      </c>
      <c r="Q137" s="6">
        <v>0</v>
      </c>
      <c r="R137" s="6">
        <v>1411</v>
      </c>
      <c r="S137" s="6">
        <v>0</v>
      </c>
      <c r="T137" s="6">
        <v>0</v>
      </c>
      <c r="U137" s="14" t="s">
        <v>32</v>
      </c>
      <c r="V137" s="14"/>
      <c r="W137" s="6">
        <v>10</v>
      </c>
      <c r="X137" s="6">
        <v>3.25</v>
      </c>
      <c r="Y137" s="15">
        <f t="shared" si="91"/>
        <v>5.4166666666666669E-2</v>
      </c>
      <c r="Z137" s="16">
        <f t="shared" si="77"/>
        <v>0.32500000000000001</v>
      </c>
      <c r="AA137" s="16"/>
      <c r="AB137" s="16"/>
      <c r="AC137" s="13">
        <f t="shared" si="78"/>
        <v>0</v>
      </c>
      <c r="AD137" s="13">
        <f t="shared" si="79"/>
        <v>0</v>
      </c>
      <c r="AE137" s="13">
        <f t="shared" si="80"/>
        <v>692</v>
      </c>
      <c r="AF137" s="12">
        <f t="shared" ref="AF137:AF210" si="92">IF(X137="","",IF(X137=0,"",M137/X137))</f>
        <v>353.84615384615387</v>
      </c>
      <c r="AG137" s="12"/>
      <c r="AH137" s="12">
        <f t="shared" si="82"/>
        <v>0</v>
      </c>
      <c r="AI137" s="12">
        <f t="shared" si="83"/>
        <v>0.30041797283176591</v>
      </c>
      <c r="AJ137" s="12">
        <f t="shared" si="84"/>
        <v>0</v>
      </c>
      <c r="AK137" s="12">
        <f t="shared" si="85"/>
        <v>0</v>
      </c>
      <c r="AL137" s="12">
        <f t="shared" si="86"/>
        <v>0.30041797283176591</v>
      </c>
      <c r="AM137" s="13">
        <f t="shared" si="87"/>
        <v>434.15384615384613</v>
      </c>
      <c r="AN137" s="13">
        <f t="shared" si="88"/>
        <v>200</v>
      </c>
      <c r="AO137" s="13">
        <f t="shared" si="71"/>
        <v>0</v>
      </c>
      <c r="AP137" s="13">
        <f t="shared" si="72"/>
        <v>0</v>
      </c>
      <c r="AQ137" s="12">
        <f t="shared" si="89"/>
        <v>4310</v>
      </c>
      <c r="AR137" s="13">
        <f t="shared" si="73"/>
        <v>1326.1538461538462</v>
      </c>
      <c r="AS137" s="17" t="s">
        <v>272</v>
      </c>
    </row>
    <row r="138" spans="1:45" x14ac:dyDescent="0.25">
      <c r="A138" s="22">
        <v>45660</v>
      </c>
      <c r="B138" s="10" t="str">
        <f t="shared" si="74"/>
        <v>2025</v>
      </c>
      <c r="C138" s="10" t="str">
        <f t="shared" si="75"/>
        <v>January</v>
      </c>
      <c r="D138" s="10"/>
      <c r="E138" s="11">
        <v>537</v>
      </c>
      <c r="F138" s="12">
        <v>6444</v>
      </c>
      <c r="G138" s="13">
        <v>920.57142857142856</v>
      </c>
      <c r="H138" s="14" t="s">
        <v>31</v>
      </c>
      <c r="I138" s="6">
        <v>0</v>
      </c>
      <c r="J138" s="6">
        <v>57</v>
      </c>
      <c r="K138" s="6"/>
      <c r="L138" s="6">
        <v>3608</v>
      </c>
      <c r="M138" s="6">
        <v>1686</v>
      </c>
      <c r="N138" s="6">
        <v>1922</v>
      </c>
      <c r="O138" s="6"/>
      <c r="P138" s="6">
        <v>1400</v>
      </c>
      <c r="Q138" s="6">
        <v>0</v>
      </c>
      <c r="R138" s="6">
        <v>2208</v>
      </c>
      <c r="S138" s="6">
        <v>0</v>
      </c>
      <c r="T138" s="6">
        <v>0</v>
      </c>
      <c r="U138" s="14" t="s">
        <v>32</v>
      </c>
      <c r="V138" s="14" t="s">
        <v>33</v>
      </c>
      <c r="W138" s="6">
        <v>10</v>
      </c>
      <c r="X138" s="6">
        <v>7</v>
      </c>
      <c r="Y138" s="15">
        <v>0.82352941176470584</v>
      </c>
      <c r="Z138" s="16">
        <v>0.7</v>
      </c>
      <c r="AA138" s="16"/>
      <c r="AB138" s="16"/>
      <c r="AC138" s="13">
        <v>0</v>
      </c>
      <c r="AD138" s="13">
        <v>0</v>
      </c>
      <c r="AE138" s="13">
        <v>515.42857142857144</v>
      </c>
      <c r="AF138" s="12">
        <f t="shared" si="92"/>
        <v>240.85714285714286</v>
      </c>
      <c r="AG138" s="12">
        <f t="shared" si="81"/>
        <v>274.57142857142856</v>
      </c>
      <c r="AH138" s="12">
        <f t="shared" si="82"/>
        <v>0</v>
      </c>
      <c r="AI138" s="12">
        <f t="shared" si="83"/>
        <v>0.26163873370577279</v>
      </c>
      <c r="AJ138" s="12">
        <f t="shared" si="84"/>
        <v>0.29826194909993792</v>
      </c>
      <c r="AK138" s="12">
        <f t="shared" si="85"/>
        <v>0</v>
      </c>
      <c r="AL138" s="12">
        <f t="shared" si="86"/>
        <v>0.5599006828057107</v>
      </c>
      <c r="AM138" s="13">
        <v>315.42857142857144</v>
      </c>
      <c r="AN138" s="13">
        <v>200</v>
      </c>
      <c r="AO138" s="13">
        <v>0</v>
      </c>
      <c r="AP138" s="13">
        <v>0</v>
      </c>
      <c r="AQ138" s="12">
        <v>7216</v>
      </c>
      <c r="AR138" s="13">
        <v>1030.8571428571429</v>
      </c>
      <c r="AS138" s="17" t="s">
        <v>34</v>
      </c>
    </row>
    <row r="139" spans="1:45" x14ac:dyDescent="0.25">
      <c r="A139" s="22">
        <v>45660</v>
      </c>
      <c r="B139" s="10" t="str">
        <f t="shared" si="74"/>
        <v>2025</v>
      </c>
      <c r="C139" s="10" t="str">
        <f t="shared" si="75"/>
        <v>January</v>
      </c>
      <c r="D139" s="10"/>
      <c r="E139" s="11">
        <v>537</v>
      </c>
      <c r="F139" s="12">
        <f>E139*12</f>
        <v>6444</v>
      </c>
      <c r="G139" s="14" t="s">
        <v>31</v>
      </c>
      <c r="H139" s="6">
        <v>0</v>
      </c>
      <c r="I139" s="6">
        <v>57</v>
      </c>
      <c r="J139" s="6">
        <f>L139+M139+N139</f>
        <v>3608</v>
      </c>
      <c r="K139" s="6"/>
      <c r="L139" s="6">
        <v>1686</v>
      </c>
      <c r="M139" s="6">
        <v>1922</v>
      </c>
      <c r="N139" s="6">
        <v>0</v>
      </c>
      <c r="O139" s="6"/>
      <c r="P139" s="6">
        <v>1400</v>
      </c>
      <c r="Q139" s="6">
        <v>0</v>
      </c>
      <c r="R139" s="6">
        <v>2208</v>
      </c>
      <c r="S139" s="6">
        <v>0</v>
      </c>
      <c r="T139" s="6">
        <v>0</v>
      </c>
      <c r="U139" s="14" t="s">
        <v>32</v>
      </c>
      <c r="V139" s="14" t="s">
        <v>33</v>
      </c>
      <c r="W139" s="6">
        <v>10</v>
      </c>
      <c r="X139" s="6">
        <v>7</v>
      </c>
      <c r="Y139" s="15">
        <f>SUM(X139)/(W139*X$2)</f>
        <v>0.11666666666666667</v>
      </c>
      <c r="Z139" s="16">
        <f>X139/W139</f>
        <v>0.7</v>
      </c>
      <c r="AA139" s="16"/>
      <c r="AB139" s="16"/>
      <c r="AC139" s="13">
        <f>Q139/X139</f>
        <v>0</v>
      </c>
      <c r="AD139" s="13">
        <f>H139/X139</f>
        <v>0</v>
      </c>
      <c r="AE139" s="13">
        <f>J139/X139</f>
        <v>515.42857142857144</v>
      </c>
      <c r="AF139" s="12">
        <f t="shared" si="92"/>
        <v>274.57142857142856</v>
      </c>
      <c r="AG139" s="12"/>
      <c r="AH139" s="12">
        <f t="shared" si="82"/>
        <v>0</v>
      </c>
      <c r="AI139" s="12">
        <f t="shared" si="83"/>
        <v>0.29826194909993792</v>
      </c>
      <c r="AJ139" s="12">
        <f t="shared" si="84"/>
        <v>0</v>
      </c>
      <c r="AK139" s="12">
        <f t="shared" si="85"/>
        <v>0</v>
      </c>
      <c r="AL139" s="12">
        <f t="shared" si="86"/>
        <v>0.29826194909993792</v>
      </c>
      <c r="AM139" s="13">
        <f>R139/X139</f>
        <v>315.42857142857144</v>
      </c>
      <c r="AN139" s="13">
        <f>P139/X139</f>
        <v>200</v>
      </c>
      <c r="AO139" s="13">
        <f>S139/X139</f>
        <v>0</v>
      </c>
      <c r="AP139" s="13">
        <f>T139/X139</f>
        <v>0</v>
      </c>
      <c r="AQ139" s="12">
        <f>R139+Q139+P139+J139+H139</f>
        <v>7216</v>
      </c>
      <c r="AR139" s="13">
        <f>AO139+AN139+AM139+AE139+AD139+AC139</f>
        <v>1030.8571428571429</v>
      </c>
      <c r="AS139" s="17" t="s">
        <v>34</v>
      </c>
    </row>
    <row r="140" spans="1:45" x14ac:dyDescent="0.25">
      <c r="A140" s="22">
        <v>45661</v>
      </c>
      <c r="B140" s="10" t="str">
        <f t="shared" si="74"/>
        <v>2025</v>
      </c>
      <c r="C140" s="10" t="str">
        <f t="shared" si="75"/>
        <v>January</v>
      </c>
      <c r="D140" s="10"/>
      <c r="E140" s="11">
        <v>307</v>
      </c>
      <c r="F140" s="12">
        <v>3684</v>
      </c>
      <c r="G140" s="13">
        <v>944.61538461538464</v>
      </c>
      <c r="H140" s="14" t="s">
        <v>31</v>
      </c>
      <c r="I140" s="6">
        <v>0</v>
      </c>
      <c r="J140" s="6">
        <v>57</v>
      </c>
      <c r="K140" s="6"/>
      <c r="L140" s="6">
        <v>1991</v>
      </c>
      <c r="M140" s="6">
        <v>932</v>
      </c>
      <c r="N140" s="6">
        <v>1059</v>
      </c>
      <c r="O140" s="6"/>
      <c r="P140" s="6">
        <v>780</v>
      </c>
      <c r="Q140" s="6">
        <v>0</v>
      </c>
      <c r="R140" s="6">
        <v>780</v>
      </c>
      <c r="S140" s="6">
        <v>0</v>
      </c>
      <c r="T140" s="6">
        <v>0</v>
      </c>
      <c r="U140" s="14" t="s">
        <v>32</v>
      </c>
      <c r="V140" s="14" t="s">
        <v>33</v>
      </c>
      <c r="W140" s="6">
        <v>4</v>
      </c>
      <c r="X140" s="6">
        <v>3.9</v>
      </c>
      <c r="Y140" s="15">
        <v>1.1470588235294117</v>
      </c>
      <c r="Z140" s="16">
        <v>0.97499999999999998</v>
      </c>
      <c r="AA140" s="16"/>
      <c r="AB140" s="16"/>
      <c r="AC140" s="13">
        <v>0</v>
      </c>
      <c r="AD140" s="13">
        <v>0</v>
      </c>
      <c r="AE140" s="13">
        <v>510.5128205128205</v>
      </c>
      <c r="AF140" s="12">
        <f t="shared" si="92"/>
        <v>238.97435897435898</v>
      </c>
      <c r="AG140" s="12">
        <f t="shared" si="81"/>
        <v>271.53846153846155</v>
      </c>
      <c r="AH140" s="12">
        <f t="shared" si="82"/>
        <v>0</v>
      </c>
      <c r="AI140" s="12">
        <f t="shared" si="83"/>
        <v>0.25298588490770901</v>
      </c>
      <c r="AJ140" s="12">
        <f t="shared" si="84"/>
        <v>0.28745928338762217</v>
      </c>
      <c r="AK140" s="12">
        <f t="shared" si="85"/>
        <v>0</v>
      </c>
      <c r="AL140" s="12">
        <f t="shared" si="86"/>
        <v>0.54044516829533118</v>
      </c>
      <c r="AM140" s="13">
        <v>200</v>
      </c>
      <c r="AN140" s="13">
        <v>200</v>
      </c>
      <c r="AO140" s="13">
        <v>0</v>
      </c>
      <c r="AP140" s="13">
        <v>0</v>
      </c>
      <c r="AQ140" s="12">
        <v>3551</v>
      </c>
      <c r="AR140" s="13">
        <v>910.51282051282055</v>
      </c>
      <c r="AS140" s="17" t="s">
        <v>35</v>
      </c>
    </row>
    <row r="141" spans="1:45" x14ac:dyDescent="0.25">
      <c r="A141" s="22">
        <v>45661</v>
      </c>
      <c r="B141" s="10" t="str">
        <f t="shared" si="74"/>
        <v>2025</v>
      </c>
      <c r="C141" s="10" t="str">
        <f t="shared" si="75"/>
        <v>January</v>
      </c>
      <c r="D141" s="10"/>
      <c r="E141" s="11">
        <v>307</v>
      </c>
      <c r="F141" s="12">
        <f>E141*12</f>
        <v>3684</v>
      </c>
      <c r="G141" s="14" t="s">
        <v>31</v>
      </c>
      <c r="H141" s="6">
        <v>0</v>
      </c>
      <c r="I141" s="6">
        <v>57</v>
      </c>
      <c r="J141" s="6">
        <f>L141+M141+N141</f>
        <v>1991</v>
      </c>
      <c r="K141" s="6"/>
      <c r="L141" s="6">
        <v>932</v>
      </c>
      <c r="M141" s="6">
        <v>1059</v>
      </c>
      <c r="N141" s="6">
        <v>0</v>
      </c>
      <c r="O141" s="6"/>
      <c r="P141" s="6">
        <v>780</v>
      </c>
      <c r="Q141" s="6">
        <v>0</v>
      </c>
      <c r="R141" s="6">
        <v>780</v>
      </c>
      <c r="S141" s="6">
        <v>0</v>
      </c>
      <c r="T141" s="6">
        <v>0</v>
      </c>
      <c r="U141" s="14" t="s">
        <v>32</v>
      </c>
      <c r="V141" s="14" t="s">
        <v>33</v>
      </c>
      <c r="W141" s="6">
        <v>4</v>
      </c>
      <c r="X141" s="6">
        <v>3.9</v>
      </c>
      <c r="Y141" s="15">
        <f>SUM(X141)/(W141*X$2)</f>
        <v>0.16250000000000001</v>
      </c>
      <c r="Z141" s="16">
        <f>X141/W141</f>
        <v>0.97499999999999998</v>
      </c>
      <c r="AA141" s="16"/>
      <c r="AB141" s="16"/>
      <c r="AC141" s="13">
        <f>Q141/X141</f>
        <v>0</v>
      </c>
      <c r="AD141" s="13">
        <f>H141/X141</f>
        <v>0</v>
      </c>
      <c r="AE141" s="13">
        <f>J141/X141</f>
        <v>510.5128205128205</v>
      </c>
      <c r="AF141" s="12">
        <f t="shared" si="92"/>
        <v>271.53846153846155</v>
      </c>
      <c r="AG141" s="12"/>
      <c r="AH141" s="12">
        <f t="shared" si="82"/>
        <v>0</v>
      </c>
      <c r="AI141" s="12">
        <f t="shared" si="83"/>
        <v>0.28745928338762217</v>
      </c>
      <c r="AJ141" s="12">
        <f t="shared" si="84"/>
        <v>0</v>
      </c>
      <c r="AK141" s="12">
        <f t="shared" si="85"/>
        <v>0</v>
      </c>
      <c r="AL141" s="12">
        <f t="shared" si="86"/>
        <v>0.28745928338762217</v>
      </c>
      <c r="AM141" s="13">
        <f>R141/X141</f>
        <v>200</v>
      </c>
      <c r="AN141" s="13">
        <f>P141/X141</f>
        <v>200</v>
      </c>
      <c r="AO141" s="13">
        <f>S141/X141</f>
        <v>0</v>
      </c>
      <c r="AP141" s="13">
        <f>T141/X141</f>
        <v>0</v>
      </c>
      <c r="AQ141" s="12">
        <f>R141+Q141+P141+J141+H141</f>
        <v>3551</v>
      </c>
      <c r="AR141" s="13">
        <f>AO141+AN141+AM141+AE141+AD141+AC141</f>
        <v>910.51282051282055</v>
      </c>
      <c r="AS141" s="17" t="s">
        <v>35</v>
      </c>
    </row>
    <row r="142" spans="1:45" x14ac:dyDescent="0.25">
      <c r="A142" s="22">
        <v>45662</v>
      </c>
      <c r="B142" s="10" t="str">
        <f t="shared" ref="B142:B205" si="93">TEXT(A142,"YYYY")</f>
        <v>2025</v>
      </c>
      <c r="C142" s="10" t="str">
        <f t="shared" ref="C142:C205" si="94">TEXT(A142,"MMMM")</f>
        <v>January</v>
      </c>
      <c r="D142" s="10"/>
      <c r="E142" s="11"/>
      <c r="F142" s="12"/>
      <c r="G142" s="1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4"/>
      <c r="V142" s="14"/>
      <c r="W142" s="6">
        <v>12</v>
      </c>
      <c r="X142" s="6">
        <v>0</v>
      </c>
      <c r="Y142" s="15"/>
      <c r="Z142" s="16">
        <f>X142/W142</f>
        <v>0</v>
      </c>
      <c r="AA142" s="16"/>
      <c r="AB142" s="16"/>
      <c r="AC142" s="13"/>
      <c r="AD142" s="13"/>
      <c r="AE142" s="13"/>
      <c r="AF142" s="12"/>
      <c r="AG142" s="12"/>
      <c r="AH142" s="12" t="str">
        <f t="shared" si="82"/>
        <v/>
      </c>
      <c r="AI142" s="12"/>
      <c r="AJ142" s="12"/>
      <c r="AK142" s="12"/>
      <c r="AL142" s="12"/>
      <c r="AM142" s="13"/>
      <c r="AN142" s="13"/>
      <c r="AO142" s="13"/>
      <c r="AP142" s="13"/>
      <c r="AQ142" s="12"/>
      <c r="AR142" s="13"/>
      <c r="AS142" s="17"/>
    </row>
    <row r="143" spans="1:45" x14ac:dyDescent="0.25">
      <c r="A143" s="22">
        <v>45664</v>
      </c>
      <c r="B143" s="10" t="str">
        <f t="shared" si="93"/>
        <v>2025</v>
      </c>
      <c r="C143" s="10" t="str">
        <f t="shared" si="94"/>
        <v>January</v>
      </c>
      <c r="D143" s="10"/>
      <c r="E143" s="11">
        <v>180</v>
      </c>
      <c r="F143" s="12">
        <v>2160</v>
      </c>
      <c r="G143" s="13">
        <v>1080</v>
      </c>
      <c r="H143" s="14" t="s">
        <v>31</v>
      </c>
      <c r="I143" s="6">
        <v>0</v>
      </c>
      <c r="J143" s="6">
        <v>57</v>
      </c>
      <c r="K143" s="6"/>
      <c r="L143" s="6">
        <v>1111</v>
      </c>
      <c r="M143" s="6">
        <v>528</v>
      </c>
      <c r="N143" s="6">
        <v>583</v>
      </c>
      <c r="O143" s="6"/>
      <c r="P143" s="6">
        <v>400</v>
      </c>
      <c r="Q143" s="6">
        <v>0</v>
      </c>
      <c r="R143" s="6">
        <v>786</v>
      </c>
      <c r="S143" s="6">
        <v>0</v>
      </c>
      <c r="T143" s="6">
        <v>0</v>
      </c>
      <c r="U143" s="14" t="s">
        <v>32</v>
      </c>
      <c r="V143" s="14" t="s">
        <v>33</v>
      </c>
      <c r="W143" s="6">
        <v>2.5</v>
      </c>
      <c r="X143" s="6">
        <v>2</v>
      </c>
      <c r="Y143" s="15">
        <v>0.94117647058823528</v>
      </c>
      <c r="Z143" s="16">
        <v>0.8</v>
      </c>
      <c r="AA143" s="16"/>
      <c r="AB143" s="16"/>
      <c r="AC143" s="13">
        <v>0</v>
      </c>
      <c r="AD143" s="13">
        <v>0</v>
      </c>
      <c r="AE143" s="13">
        <v>555.5</v>
      </c>
      <c r="AF143" s="12">
        <f t="shared" si="92"/>
        <v>264</v>
      </c>
      <c r="AG143" s="12">
        <f t="shared" si="81"/>
        <v>291.5</v>
      </c>
      <c r="AH143" s="12">
        <f t="shared" si="82"/>
        <v>0</v>
      </c>
      <c r="AI143" s="12">
        <f t="shared" si="83"/>
        <v>0.24444444444444444</v>
      </c>
      <c r="AJ143" s="12">
        <f t="shared" si="84"/>
        <v>0.26990740740740743</v>
      </c>
      <c r="AK143" s="12">
        <f t="shared" si="85"/>
        <v>0</v>
      </c>
      <c r="AL143" s="12">
        <f t="shared" si="86"/>
        <v>0.51435185185185184</v>
      </c>
      <c r="AM143" s="13">
        <v>393</v>
      </c>
      <c r="AN143" s="13">
        <v>200</v>
      </c>
      <c r="AO143" s="13">
        <v>0</v>
      </c>
      <c r="AP143" s="13">
        <v>0</v>
      </c>
      <c r="AQ143" s="12">
        <v>2297</v>
      </c>
      <c r="AR143" s="13">
        <v>1148.5</v>
      </c>
      <c r="AS143" s="17"/>
    </row>
    <row r="144" spans="1:45" x14ac:dyDescent="0.25">
      <c r="A144" s="22">
        <v>45664</v>
      </c>
      <c r="B144" s="10" t="str">
        <f t="shared" si="93"/>
        <v>2025</v>
      </c>
      <c r="C144" s="10" t="str">
        <f t="shared" si="94"/>
        <v>January</v>
      </c>
      <c r="D144" s="10"/>
      <c r="E144" s="11">
        <v>180</v>
      </c>
      <c r="F144" s="12">
        <f>E144*12</f>
        <v>2160</v>
      </c>
      <c r="G144" s="14" t="s">
        <v>31</v>
      </c>
      <c r="H144" s="6">
        <v>0</v>
      </c>
      <c r="I144" s="6">
        <v>57</v>
      </c>
      <c r="J144" s="6">
        <f>L144+M144+N144</f>
        <v>1111</v>
      </c>
      <c r="K144" s="6"/>
      <c r="L144" s="6">
        <v>528</v>
      </c>
      <c r="M144" s="6">
        <v>583</v>
      </c>
      <c r="N144" s="6">
        <v>0</v>
      </c>
      <c r="O144" s="6"/>
      <c r="P144" s="6">
        <v>400</v>
      </c>
      <c r="Q144" s="6">
        <v>0</v>
      </c>
      <c r="R144" s="6">
        <v>786</v>
      </c>
      <c r="S144" s="6">
        <v>0</v>
      </c>
      <c r="T144" s="6">
        <v>0</v>
      </c>
      <c r="U144" s="14" t="s">
        <v>32</v>
      </c>
      <c r="V144" s="14" t="s">
        <v>33</v>
      </c>
      <c r="W144" s="6">
        <v>2.5</v>
      </c>
      <c r="X144" s="6">
        <v>2</v>
      </c>
      <c r="Y144" s="15">
        <f>SUM(X144)/(W144*X$2)</f>
        <v>0.13333333333333333</v>
      </c>
      <c r="Z144" s="16">
        <f>X144/W144</f>
        <v>0.8</v>
      </c>
      <c r="AA144" s="16"/>
      <c r="AB144" s="16"/>
      <c r="AC144" s="13">
        <f>Q144/X144</f>
        <v>0</v>
      </c>
      <c r="AD144" s="13">
        <f>H144/X144</f>
        <v>0</v>
      </c>
      <c r="AE144" s="13">
        <f>J144/X144</f>
        <v>555.5</v>
      </c>
      <c r="AF144" s="12">
        <f t="shared" si="92"/>
        <v>291.5</v>
      </c>
      <c r="AG144" s="12"/>
      <c r="AH144" s="12">
        <f t="shared" si="82"/>
        <v>0</v>
      </c>
      <c r="AI144" s="12">
        <f t="shared" si="83"/>
        <v>0.26990740740740743</v>
      </c>
      <c r="AJ144" s="12">
        <f t="shared" si="84"/>
        <v>0</v>
      </c>
      <c r="AK144" s="12">
        <f t="shared" si="85"/>
        <v>0</v>
      </c>
      <c r="AL144" s="12">
        <f t="shared" si="86"/>
        <v>0.26990740740740743</v>
      </c>
      <c r="AM144" s="13">
        <f>R144/X144</f>
        <v>393</v>
      </c>
      <c r="AN144" s="13">
        <f>P144/X144</f>
        <v>200</v>
      </c>
      <c r="AO144" s="13">
        <f>S144/X144</f>
        <v>0</v>
      </c>
      <c r="AP144" s="13">
        <f>T144/X144</f>
        <v>0</v>
      </c>
      <c r="AQ144" s="12">
        <f>R144+Q144+P144+J144+H144</f>
        <v>2297</v>
      </c>
      <c r="AR144" s="13">
        <f>AO144+AN144+AM144+AE144+AD144+AC144</f>
        <v>1148.5</v>
      </c>
      <c r="AS144" s="17"/>
    </row>
    <row r="145" spans="1:45" x14ac:dyDescent="0.25">
      <c r="A145" s="22">
        <v>45665</v>
      </c>
      <c r="B145" s="10" t="str">
        <f t="shared" si="93"/>
        <v>2025</v>
      </c>
      <c r="C145" s="10" t="str">
        <f t="shared" si="94"/>
        <v>January</v>
      </c>
      <c r="D145" s="10"/>
      <c r="E145" s="11">
        <v>314</v>
      </c>
      <c r="F145" s="12">
        <v>3768</v>
      </c>
      <c r="G145" s="13">
        <v>724.61538461538464</v>
      </c>
      <c r="H145" s="14" t="s">
        <v>31</v>
      </c>
      <c r="I145" s="6">
        <v>0</v>
      </c>
      <c r="J145" s="6">
        <v>57</v>
      </c>
      <c r="K145" s="6"/>
      <c r="L145" s="6">
        <v>2561</v>
      </c>
      <c r="M145" s="6">
        <v>1271</v>
      </c>
      <c r="N145" s="6">
        <v>1290</v>
      </c>
      <c r="O145" s="6"/>
      <c r="P145" s="6">
        <v>1000</v>
      </c>
      <c r="Q145" s="6">
        <v>0</v>
      </c>
      <c r="R145" s="6">
        <v>1300</v>
      </c>
      <c r="S145" s="6">
        <v>0</v>
      </c>
      <c r="T145" s="6">
        <v>0</v>
      </c>
      <c r="U145" s="14" t="s">
        <v>32</v>
      </c>
      <c r="V145" s="14" t="s">
        <v>33</v>
      </c>
      <c r="W145" s="6">
        <v>8</v>
      </c>
      <c r="X145" s="6">
        <v>5.2</v>
      </c>
      <c r="Y145" s="15">
        <v>0.76470588235294124</v>
      </c>
      <c r="Z145" s="16">
        <v>0.65</v>
      </c>
      <c r="AA145" s="16"/>
      <c r="AB145" s="16"/>
      <c r="AC145" s="13">
        <v>0</v>
      </c>
      <c r="AD145" s="13">
        <v>0</v>
      </c>
      <c r="AE145" s="13">
        <v>492.5</v>
      </c>
      <c r="AF145" s="12">
        <f t="shared" si="92"/>
        <v>244.42307692307691</v>
      </c>
      <c r="AG145" s="12">
        <f t="shared" si="81"/>
        <v>248.07692307692307</v>
      </c>
      <c r="AH145" s="12">
        <f t="shared" si="82"/>
        <v>0</v>
      </c>
      <c r="AI145" s="12">
        <f t="shared" si="83"/>
        <v>0.33731422505307856</v>
      </c>
      <c r="AJ145" s="12">
        <f t="shared" si="84"/>
        <v>0.34235668789808915</v>
      </c>
      <c r="AK145" s="12">
        <f t="shared" si="85"/>
        <v>0</v>
      </c>
      <c r="AL145" s="12">
        <f t="shared" si="86"/>
        <v>0.67967091295116777</v>
      </c>
      <c r="AM145" s="13">
        <v>250</v>
      </c>
      <c r="AN145" s="13">
        <v>192.30769230769229</v>
      </c>
      <c r="AO145" s="13">
        <v>0</v>
      </c>
      <c r="AP145" s="13">
        <v>0</v>
      </c>
      <c r="AQ145" s="12">
        <v>4861</v>
      </c>
      <c r="AR145" s="13">
        <v>934.80769230769226</v>
      </c>
      <c r="AS145" s="17" t="s">
        <v>36</v>
      </c>
    </row>
    <row r="146" spans="1:45" x14ac:dyDescent="0.25">
      <c r="A146" s="22">
        <v>45665</v>
      </c>
      <c r="B146" s="10" t="str">
        <f t="shared" si="93"/>
        <v>2025</v>
      </c>
      <c r="C146" s="10" t="str">
        <f t="shared" si="94"/>
        <v>January</v>
      </c>
      <c r="D146" s="10"/>
      <c r="E146" s="11">
        <v>314</v>
      </c>
      <c r="F146" s="12">
        <f>E146*12</f>
        <v>3768</v>
      </c>
      <c r="G146" s="14" t="s">
        <v>31</v>
      </c>
      <c r="H146" s="6">
        <v>0</v>
      </c>
      <c r="I146" s="6">
        <v>57</v>
      </c>
      <c r="J146" s="6">
        <f>L146+M146+N146</f>
        <v>2561</v>
      </c>
      <c r="K146" s="6"/>
      <c r="L146" s="6">
        <v>1271</v>
      </c>
      <c r="M146" s="6">
        <v>1290</v>
      </c>
      <c r="N146" s="6">
        <v>0</v>
      </c>
      <c r="O146" s="6"/>
      <c r="P146" s="6">
        <v>1000</v>
      </c>
      <c r="Q146" s="6">
        <v>0</v>
      </c>
      <c r="R146" s="6">
        <v>1300</v>
      </c>
      <c r="S146" s="6">
        <v>0</v>
      </c>
      <c r="T146" s="6">
        <v>0</v>
      </c>
      <c r="U146" s="14" t="s">
        <v>32</v>
      </c>
      <c r="V146" s="14" t="s">
        <v>33</v>
      </c>
      <c r="W146" s="6">
        <v>8</v>
      </c>
      <c r="X146" s="6">
        <v>5.2</v>
      </c>
      <c r="Y146" s="15">
        <f>SUM(X146)/(W146*X$2)</f>
        <v>0.10833333333333334</v>
      </c>
      <c r="Z146" s="16">
        <f>X146/W146</f>
        <v>0.65</v>
      </c>
      <c r="AA146" s="16"/>
      <c r="AB146" s="16"/>
      <c r="AC146" s="13">
        <f>Q146/X146</f>
        <v>0</v>
      </c>
      <c r="AD146" s="13">
        <f>H146/X146</f>
        <v>0</v>
      </c>
      <c r="AE146" s="13">
        <f>J146/X146</f>
        <v>492.5</v>
      </c>
      <c r="AF146" s="12">
        <f t="shared" si="92"/>
        <v>248.07692307692307</v>
      </c>
      <c r="AG146" s="12"/>
      <c r="AH146" s="12">
        <f t="shared" si="82"/>
        <v>0</v>
      </c>
      <c r="AI146" s="12">
        <f t="shared" si="83"/>
        <v>0.34235668789808915</v>
      </c>
      <c r="AJ146" s="12">
        <f t="shared" si="84"/>
        <v>0</v>
      </c>
      <c r="AK146" s="12">
        <f t="shared" si="85"/>
        <v>0</v>
      </c>
      <c r="AL146" s="12">
        <f t="shared" si="86"/>
        <v>0.34235668789808915</v>
      </c>
      <c r="AM146" s="13">
        <f>R146/X146</f>
        <v>250</v>
      </c>
      <c r="AN146" s="13">
        <f>P146/X146</f>
        <v>192.30769230769229</v>
      </c>
      <c r="AO146" s="13">
        <f>S146/X146</f>
        <v>0</v>
      </c>
      <c r="AP146" s="13">
        <f>T146/X146</f>
        <v>0</v>
      </c>
      <c r="AQ146" s="12">
        <f>R146+Q146+P146+J146+H146</f>
        <v>4861</v>
      </c>
      <c r="AR146" s="13">
        <f>AO146+AN146+AM146+AE146+AD146+AC146</f>
        <v>934.80769230769226</v>
      </c>
      <c r="AS146" s="17" t="s">
        <v>36</v>
      </c>
    </row>
    <row r="147" spans="1:45" x14ac:dyDescent="0.25">
      <c r="A147" s="22">
        <v>45666</v>
      </c>
      <c r="B147" s="10" t="str">
        <f t="shared" si="93"/>
        <v>2025</v>
      </c>
      <c r="C147" s="10" t="str">
        <f t="shared" si="94"/>
        <v>January</v>
      </c>
      <c r="D147" s="10"/>
      <c r="E147" s="11"/>
      <c r="F147" s="12"/>
      <c r="G147" s="14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14"/>
      <c r="V147" s="14"/>
      <c r="W147" s="6">
        <v>12</v>
      </c>
      <c r="X147" s="6">
        <v>0</v>
      </c>
      <c r="Y147" s="15"/>
      <c r="Z147" s="16">
        <f t="shared" ref="Z147:Z148" si="95">X147/W147</f>
        <v>0</v>
      </c>
      <c r="AA147" s="16"/>
      <c r="AB147" s="16"/>
      <c r="AC147" s="13"/>
      <c r="AD147" s="13"/>
      <c r="AE147" s="13"/>
      <c r="AF147" s="12"/>
      <c r="AG147" s="12"/>
      <c r="AH147" s="12" t="str">
        <f t="shared" si="82"/>
        <v/>
      </c>
      <c r="AI147" s="12"/>
      <c r="AJ147" s="12"/>
      <c r="AK147" s="12"/>
      <c r="AL147" s="12"/>
      <c r="AM147" s="13"/>
      <c r="AN147" s="13"/>
      <c r="AO147" s="13"/>
      <c r="AP147" s="13"/>
      <c r="AQ147" s="12"/>
      <c r="AR147" s="13"/>
      <c r="AS147" s="17"/>
    </row>
    <row r="148" spans="1:45" x14ac:dyDescent="0.25">
      <c r="A148" s="22">
        <v>45667</v>
      </c>
      <c r="B148" s="10" t="str">
        <f t="shared" si="93"/>
        <v>2025</v>
      </c>
      <c r="C148" s="10" t="str">
        <f t="shared" si="94"/>
        <v>January</v>
      </c>
      <c r="D148" s="10"/>
      <c r="E148" s="11"/>
      <c r="F148" s="12"/>
      <c r="G148" s="14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4"/>
      <c r="V148" s="14"/>
      <c r="W148" s="6">
        <v>12</v>
      </c>
      <c r="X148" s="6">
        <v>0</v>
      </c>
      <c r="Y148" s="15"/>
      <c r="Z148" s="16">
        <f t="shared" si="95"/>
        <v>0</v>
      </c>
      <c r="AA148" s="16"/>
      <c r="AB148" s="16"/>
      <c r="AC148" s="13"/>
      <c r="AD148" s="13"/>
      <c r="AE148" s="13"/>
      <c r="AF148" s="12"/>
      <c r="AG148" s="12"/>
      <c r="AH148" s="12" t="str">
        <f t="shared" si="82"/>
        <v/>
      </c>
      <c r="AI148" s="12"/>
      <c r="AJ148" s="12"/>
      <c r="AK148" s="12"/>
      <c r="AL148" s="12"/>
      <c r="AM148" s="13"/>
      <c r="AN148" s="13"/>
      <c r="AO148" s="13"/>
      <c r="AP148" s="13"/>
      <c r="AQ148" s="12"/>
      <c r="AR148" s="13"/>
      <c r="AS148" s="17"/>
    </row>
    <row r="149" spans="1:45" x14ac:dyDescent="0.25">
      <c r="A149" s="22">
        <v>45668</v>
      </c>
      <c r="B149" s="10" t="str">
        <f t="shared" si="93"/>
        <v>2025</v>
      </c>
      <c r="C149" s="10" t="str">
        <f t="shared" si="94"/>
        <v>January</v>
      </c>
      <c r="D149" s="10"/>
      <c r="E149" s="11"/>
      <c r="F149" s="12"/>
      <c r="G149" s="14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4"/>
      <c r="V149" s="14"/>
      <c r="W149" s="6"/>
      <c r="X149" s="6"/>
      <c r="Y149" s="15"/>
      <c r="Z149" s="16">
        <v>0</v>
      </c>
      <c r="AA149" s="16"/>
      <c r="AB149" s="16"/>
      <c r="AC149" s="13"/>
      <c r="AD149" s="13"/>
      <c r="AE149" s="13"/>
      <c r="AF149" s="12"/>
      <c r="AG149" s="12"/>
      <c r="AH149" s="12"/>
      <c r="AI149" s="12"/>
      <c r="AJ149" s="12"/>
      <c r="AK149" s="12"/>
      <c r="AL149" s="12"/>
      <c r="AM149" s="13"/>
      <c r="AN149" s="13"/>
      <c r="AO149" s="13"/>
      <c r="AP149" s="13"/>
      <c r="AQ149" s="12"/>
      <c r="AR149" s="13"/>
      <c r="AS149" s="17"/>
    </row>
    <row r="150" spans="1:45" x14ac:dyDescent="0.25">
      <c r="A150" s="22">
        <v>45671</v>
      </c>
      <c r="B150" s="10" t="str">
        <f t="shared" si="93"/>
        <v>2025</v>
      </c>
      <c r="C150" s="10" t="str">
        <f t="shared" si="94"/>
        <v>January</v>
      </c>
      <c r="D150" s="10"/>
      <c r="E150" s="11">
        <v>146</v>
      </c>
      <c r="F150" s="12">
        <v>1752</v>
      </c>
      <c r="G150" s="13">
        <v>876</v>
      </c>
      <c r="H150" s="14" t="s">
        <v>31</v>
      </c>
      <c r="I150" s="6">
        <v>0</v>
      </c>
      <c r="J150" s="6">
        <v>57</v>
      </c>
      <c r="K150" s="6"/>
      <c r="L150" s="6">
        <v>1170</v>
      </c>
      <c r="M150" s="6">
        <v>548</v>
      </c>
      <c r="N150" s="6">
        <v>622</v>
      </c>
      <c r="O150" s="6"/>
      <c r="P150" s="6">
        <v>400</v>
      </c>
      <c r="Q150" s="6">
        <v>0</v>
      </c>
      <c r="R150" s="6">
        <v>600</v>
      </c>
      <c r="S150" s="6">
        <v>0</v>
      </c>
      <c r="T150" s="6">
        <v>0</v>
      </c>
      <c r="U150" s="14" t="s">
        <v>32</v>
      </c>
      <c r="V150" s="14" t="s">
        <v>33</v>
      </c>
      <c r="W150" s="6">
        <v>5</v>
      </c>
      <c r="X150" s="6">
        <v>2</v>
      </c>
      <c r="Y150" s="15">
        <v>0.47058823529411764</v>
      </c>
      <c r="Z150" s="16">
        <v>0.4</v>
      </c>
      <c r="AA150" s="16"/>
      <c r="AB150" s="16"/>
      <c r="AC150" s="13">
        <v>0</v>
      </c>
      <c r="AD150" s="13">
        <v>0</v>
      </c>
      <c r="AE150" s="13">
        <v>585</v>
      </c>
      <c r="AF150" s="12">
        <f t="shared" si="92"/>
        <v>274</v>
      </c>
      <c r="AG150" s="12">
        <f t="shared" si="81"/>
        <v>311</v>
      </c>
      <c r="AH150" s="12">
        <f t="shared" si="82"/>
        <v>0</v>
      </c>
      <c r="AI150" s="12">
        <f t="shared" si="83"/>
        <v>0.31278538812785389</v>
      </c>
      <c r="AJ150" s="12">
        <f t="shared" si="84"/>
        <v>0.3550228310502283</v>
      </c>
      <c r="AK150" s="12">
        <f t="shared" si="85"/>
        <v>0</v>
      </c>
      <c r="AL150" s="12">
        <f t="shared" si="86"/>
        <v>0.6678082191780822</v>
      </c>
      <c r="AM150" s="13">
        <v>300</v>
      </c>
      <c r="AN150" s="13">
        <v>200</v>
      </c>
      <c r="AO150" s="13">
        <v>0</v>
      </c>
      <c r="AP150" s="13">
        <v>0</v>
      </c>
      <c r="AQ150" s="12">
        <v>2170</v>
      </c>
      <c r="AR150" s="13">
        <v>1085</v>
      </c>
      <c r="AS150" s="17" t="s">
        <v>37</v>
      </c>
    </row>
    <row r="151" spans="1:45" x14ac:dyDescent="0.25">
      <c r="A151" s="22">
        <v>45671</v>
      </c>
      <c r="B151" s="10" t="str">
        <f t="shared" si="93"/>
        <v>2025</v>
      </c>
      <c r="C151" s="10" t="str">
        <f t="shared" si="94"/>
        <v>January</v>
      </c>
      <c r="D151" s="10"/>
      <c r="E151" s="11">
        <v>146</v>
      </c>
      <c r="F151" s="12">
        <f>E151*12</f>
        <v>1752</v>
      </c>
      <c r="G151" s="14" t="s">
        <v>31</v>
      </c>
      <c r="H151" s="6">
        <v>0</v>
      </c>
      <c r="I151" s="6">
        <v>57</v>
      </c>
      <c r="J151" s="6">
        <f>L151+M151+N151</f>
        <v>1170</v>
      </c>
      <c r="K151" s="6"/>
      <c r="L151" s="6">
        <v>548</v>
      </c>
      <c r="M151" s="6">
        <v>622</v>
      </c>
      <c r="N151" s="6">
        <v>0</v>
      </c>
      <c r="O151" s="6"/>
      <c r="P151" s="6">
        <v>400</v>
      </c>
      <c r="Q151" s="6">
        <v>0</v>
      </c>
      <c r="R151" s="6">
        <v>600</v>
      </c>
      <c r="S151" s="6">
        <v>0</v>
      </c>
      <c r="T151" s="6">
        <v>0</v>
      </c>
      <c r="U151" s="14" t="s">
        <v>32</v>
      </c>
      <c r="V151" s="14" t="s">
        <v>33</v>
      </c>
      <c r="W151" s="6">
        <v>5</v>
      </c>
      <c r="X151" s="6">
        <v>2</v>
      </c>
      <c r="Y151" s="15">
        <f>SUM(X151)/(W151*X$2)</f>
        <v>6.6666666666666666E-2</v>
      </c>
      <c r="Z151" s="16">
        <f>X151/W151</f>
        <v>0.4</v>
      </c>
      <c r="AA151" s="16"/>
      <c r="AB151" s="16"/>
      <c r="AC151" s="13">
        <f>Q151/X151</f>
        <v>0</v>
      </c>
      <c r="AD151" s="13">
        <f>H151/X151</f>
        <v>0</v>
      </c>
      <c r="AE151" s="13">
        <f>J151/X151</f>
        <v>585</v>
      </c>
      <c r="AF151" s="12">
        <f t="shared" si="92"/>
        <v>311</v>
      </c>
      <c r="AG151" s="12"/>
      <c r="AH151" s="12">
        <f t="shared" si="82"/>
        <v>0</v>
      </c>
      <c r="AI151" s="12">
        <f t="shared" si="83"/>
        <v>0.3550228310502283</v>
      </c>
      <c r="AJ151" s="12">
        <f t="shared" si="84"/>
        <v>0</v>
      </c>
      <c r="AK151" s="12">
        <f t="shared" si="85"/>
        <v>0</v>
      </c>
      <c r="AL151" s="12">
        <f t="shared" si="86"/>
        <v>0.3550228310502283</v>
      </c>
      <c r="AM151" s="13">
        <f>R151/X151</f>
        <v>300</v>
      </c>
      <c r="AN151" s="13">
        <f>P151/X151</f>
        <v>200</v>
      </c>
      <c r="AO151" s="13">
        <f>S151/X151</f>
        <v>0</v>
      </c>
      <c r="AP151" s="13">
        <f>T151/X151</f>
        <v>0</v>
      </c>
      <c r="AQ151" s="12">
        <f>R151+Q151+P151+J151+H151</f>
        <v>2170</v>
      </c>
      <c r="AR151" s="13">
        <f>AO151+AN151+AM151+AE151+AD151+AC151</f>
        <v>1085</v>
      </c>
      <c r="AS151" s="17" t="s">
        <v>37</v>
      </c>
    </row>
    <row r="152" spans="1:45" x14ac:dyDescent="0.25">
      <c r="A152" s="22">
        <v>45672</v>
      </c>
      <c r="B152" s="10" t="str">
        <f t="shared" si="93"/>
        <v>2025</v>
      </c>
      <c r="C152" s="10" t="str">
        <f t="shared" si="94"/>
        <v>January</v>
      </c>
      <c r="D152" s="10"/>
      <c r="E152" s="11">
        <v>545</v>
      </c>
      <c r="F152" s="12">
        <v>7357.5</v>
      </c>
      <c r="G152" s="13">
        <v>1036.2676056338028</v>
      </c>
      <c r="H152" s="14" t="s">
        <v>31</v>
      </c>
      <c r="I152" s="6">
        <v>0</v>
      </c>
      <c r="J152" s="6">
        <v>57</v>
      </c>
      <c r="K152" s="6"/>
      <c r="L152" s="6">
        <v>4689</v>
      </c>
      <c r="M152" s="6">
        <v>2251</v>
      </c>
      <c r="N152" s="6">
        <v>2438</v>
      </c>
      <c r="O152" s="6"/>
      <c r="P152" s="6">
        <v>2698</v>
      </c>
      <c r="Q152" s="6">
        <v>0</v>
      </c>
      <c r="R152" s="6">
        <v>0</v>
      </c>
      <c r="S152" s="6">
        <v>0</v>
      </c>
      <c r="T152" s="6">
        <v>0</v>
      </c>
      <c r="U152" s="14" t="s">
        <v>32</v>
      </c>
      <c r="V152" s="14" t="s">
        <v>33</v>
      </c>
      <c r="W152" s="6">
        <v>9</v>
      </c>
      <c r="X152" s="6">
        <v>7.1</v>
      </c>
      <c r="Y152" s="15">
        <v>0.92810457516339873</v>
      </c>
      <c r="Z152" s="16">
        <v>0.78888888888888886</v>
      </c>
      <c r="AA152" s="16"/>
      <c r="AB152" s="16"/>
      <c r="AC152" s="13">
        <v>0</v>
      </c>
      <c r="AD152" s="13">
        <v>0</v>
      </c>
      <c r="AE152" s="13">
        <v>660.42253521126759</v>
      </c>
      <c r="AF152" s="12">
        <f t="shared" si="92"/>
        <v>317.04225352112678</v>
      </c>
      <c r="AG152" s="12">
        <f t="shared" si="81"/>
        <v>343.38028169014086</v>
      </c>
      <c r="AH152" s="12">
        <f t="shared" si="82"/>
        <v>0</v>
      </c>
      <c r="AI152" s="12">
        <f t="shared" si="83"/>
        <v>0.30594631328576283</v>
      </c>
      <c r="AJ152" s="12">
        <f t="shared" si="84"/>
        <v>0.33136255521576624</v>
      </c>
      <c r="AK152" s="12">
        <f t="shared" si="85"/>
        <v>0</v>
      </c>
      <c r="AL152" s="12">
        <f t="shared" si="86"/>
        <v>0.63730886850152912</v>
      </c>
      <c r="AM152" s="13">
        <v>0</v>
      </c>
      <c r="AN152" s="13">
        <v>380</v>
      </c>
      <c r="AO152" s="13">
        <v>0</v>
      </c>
      <c r="AP152" s="13">
        <v>0</v>
      </c>
      <c r="AQ152" s="12">
        <v>7387</v>
      </c>
      <c r="AR152" s="13">
        <v>1040.4225352112676</v>
      </c>
      <c r="AS152" s="17" t="s">
        <v>38</v>
      </c>
    </row>
    <row r="153" spans="1:45" x14ac:dyDescent="0.25">
      <c r="A153" s="22">
        <v>45672</v>
      </c>
      <c r="B153" s="10" t="str">
        <f t="shared" si="93"/>
        <v>2025</v>
      </c>
      <c r="C153" s="10" t="str">
        <f t="shared" si="94"/>
        <v>January</v>
      </c>
      <c r="D153" s="10"/>
      <c r="E153" s="11">
        <v>545</v>
      </c>
      <c r="F153" s="12">
        <f>E153*13.5</f>
        <v>7357.5</v>
      </c>
      <c r="G153" s="14" t="s">
        <v>31</v>
      </c>
      <c r="H153" s="6">
        <v>0</v>
      </c>
      <c r="I153" s="6">
        <v>57</v>
      </c>
      <c r="J153" s="6">
        <f>L153+M153</f>
        <v>4689</v>
      </c>
      <c r="K153" s="6"/>
      <c r="L153" s="6">
        <v>2251</v>
      </c>
      <c r="M153" s="6">
        <v>2438</v>
      </c>
      <c r="N153" s="6">
        <v>0</v>
      </c>
      <c r="O153" s="6"/>
      <c r="P153" s="6">
        <v>2698</v>
      </c>
      <c r="Q153" s="6">
        <v>0</v>
      </c>
      <c r="R153" s="6">
        <v>0</v>
      </c>
      <c r="S153" s="6">
        <v>0</v>
      </c>
      <c r="T153" s="6">
        <v>0</v>
      </c>
      <c r="U153" s="14" t="s">
        <v>32</v>
      </c>
      <c r="V153" s="14" t="s">
        <v>33</v>
      </c>
      <c r="W153" s="6">
        <v>9</v>
      </c>
      <c r="X153" s="6">
        <v>7.1</v>
      </c>
      <c r="Y153" s="15">
        <f>SUM(X153)/(W153*X$2)</f>
        <v>0.13148148148148148</v>
      </c>
      <c r="Z153" s="16">
        <f>X153/W153</f>
        <v>0.78888888888888886</v>
      </c>
      <c r="AA153" s="16"/>
      <c r="AB153" s="16"/>
      <c r="AC153" s="13">
        <f>Q153/X153</f>
        <v>0</v>
      </c>
      <c r="AD153" s="13">
        <f>H153/X153</f>
        <v>0</v>
      </c>
      <c r="AE153" s="13">
        <f>J153/X153</f>
        <v>660.42253521126759</v>
      </c>
      <c r="AF153" s="12">
        <f t="shared" si="92"/>
        <v>343.38028169014086</v>
      </c>
      <c r="AG153" s="12"/>
      <c r="AH153" s="12">
        <f t="shared" si="82"/>
        <v>0</v>
      </c>
      <c r="AI153" s="12">
        <f t="shared" si="83"/>
        <v>0.33136255521576624</v>
      </c>
      <c r="AJ153" s="12">
        <f t="shared" si="84"/>
        <v>0</v>
      </c>
      <c r="AK153" s="12">
        <f t="shared" si="85"/>
        <v>0</v>
      </c>
      <c r="AL153" s="12">
        <f t="shared" si="86"/>
        <v>0.33136255521576624</v>
      </c>
      <c r="AM153" s="13">
        <f>R153/X153</f>
        <v>0</v>
      </c>
      <c r="AN153" s="13">
        <f>P153/X153</f>
        <v>380</v>
      </c>
      <c r="AO153" s="13">
        <f>S153/X153</f>
        <v>0</v>
      </c>
      <c r="AP153" s="13">
        <f>T153/X153</f>
        <v>0</v>
      </c>
      <c r="AQ153" s="12">
        <f>R153+Q153+P153+J153+H153</f>
        <v>7387</v>
      </c>
      <c r="AR153" s="13">
        <f>AO153+AN153+AM153+AE153+AD153+AC153</f>
        <v>1040.4225352112676</v>
      </c>
      <c r="AS153" s="17" t="s">
        <v>38</v>
      </c>
    </row>
    <row r="154" spans="1:45" x14ac:dyDescent="0.25">
      <c r="A154" s="22">
        <v>45673</v>
      </c>
      <c r="B154" s="10" t="str">
        <f t="shared" si="93"/>
        <v>2025</v>
      </c>
      <c r="C154" s="10" t="str">
        <f t="shared" si="94"/>
        <v>January</v>
      </c>
      <c r="D154" s="10"/>
      <c r="E154" s="11">
        <v>30</v>
      </c>
      <c r="F154" s="12">
        <v>405</v>
      </c>
      <c r="G154" s="13">
        <v>1012.5</v>
      </c>
      <c r="H154" s="14" t="s">
        <v>31</v>
      </c>
      <c r="I154" s="6">
        <v>0</v>
      </c>
      <c r="J154" s="6">
        <v>57</v>
      </c>
      <c r="K154" s="6"/>
      <c r="L154" s="6">
        <v>251</v>
      </c>
      <c r="M154" s="6">
        <v>124</v>
      </c>
      <c r="N154" s="6">
        <v>127</v>
      </c>
      <c r="O154" s="6"/>
      <c r="P154" s="6">
        <v>152</v>
      </c>
      <c r="Q154" s="6">
        <v>0</v>
      </c>
      <c r="R154" s="6">
        <v>0</v>
      </c>
      <c r="S154" s="6">
        <v>0</v>
      </c>
      <c r="T154" s="6">
        <v>0</v>
      </c>
      <c r="U154" s="14" t="s">
        <v>32</v>
      </c>
      <c r="V154" s="14" t="s">
        <v>33</v>
      </c>
      <c r="W154" s="6">
        <v>1</v>
      </c>
      <c r="X154" s="6">
        <v>0.4</v>
      </c>
      <c r="Y154" s="15">
        <v>0.4705882352941177</v>
      </c>
      <c r="Z154" s="16">
        <v>0.4</v>
      </c>
      <c r="AA154" s="16"/>
      <c r="AB154" s="16"/>
      <c r="AC154" s="13">
        <v>0</v>
      </c>
      <c r="AD154" s="13">
        <v>0</v>
      </c>
      <c r="AE154" s="13">
        <v>627.5</v>
      </c>
      <c r="AF154" s="12">
        <f t="shared" si="92"/>
        <v>310</v>
      </c>
      <c r="AG154" s="12">
        <f t="shared" si="81"/>
        <v>317.5</v>
      </c>
      <c r="AH154" s="12">
        <f t="shared" si="82"/>
        <v>0</v>
      </c>
      <c r="AI154" s="12">
        <f t="shared" si="83"/>
        <v>0.30617283950617286</v>
      </c>
      <c r="AJ154" s="12">
        <f t="shared" si="84"/>
        <v>0.31358024691358027</v>
      </c>
      <c r="AK154" s="12">
        <f t="shared" si="85"/>
        <v>0</v>
      </c>
      <c r="AL154" s="12">
        <f t="shared" si="86"/>
        <v>0.61975308641975313</v>
      </c>
      <c r="AM154" s="13">
        <v>0</v>
      </c>
      <c r="AN154" s="13">
        <v>380</v>
      </c>
      <c r="AO154" s="13">
        <v>0</v>
      </c>
      <c r="AP154" s="13">
        <v>0</v>
      </c>
      <c r="AQ154" s="12">
        <v>403</v>
      </c>
      <c r="AR154" s="13">
        <v>1007.5</v>
      </c>
      <c r="AS154" s="17" t="s">
        <v>39</v>
      </c>
    </row>
    <row r="155" spans="1:45" x14ac:dyDescent="0.25">
      <c r="A155" s="22">
        <v>45673</v>
      </c>
      <c r="B155" s="10" t="str">
        <f t="shared" si="93"/>
        <v>2025</v>
      </c>
      <c r="C155" s="10" t="str">
        <f t="shared" si="94"/>
        <v>January</v>
      </c>
      <c r="D155" s="10"/>
      <c r="E155" s="11">
        <v>30</v>
      </c>
      <c r="F155" s="12">
        <f>E155*13.5</f>
        <v>405</v>
      </c>
      <c r="G155" s="14" t="s">
        <v>31</v>
      </c>
      <c r="H155" s="6">
        <v>0</v>
      </c>
      <c r="I155" s="6">
        <v>57</v>
      </c>
      <c r="J155" s="6">
        <f>L155+M155</f>
        <v>251</v>
      </c>
      <c r="K155" s="6"/>
      <c r="L155" s="6">
        <v>124</v>
      </c>
      <c r="M155" s="6">
        <v>127</v>
      </c>
      <c r="N155" s="6">
        <v>66</v>
      </c>
      <c r="O155" s="6"/>
      <c r="P155" s="6">
        <v>152</v>
      </c>
      <c r="Q155" s="6">
        <v>0</v>
      </c>
      <c r="R155" s="6">
        <v>0</v>
      </c>
      <c r="S155" s="6">
        <v>0</v>
      </c>
      <c r="T155" s="6">
        <v>0</v>
      </c>
      <c r="U155" s="14" t="s">
        <v>32</v>
      </c>
      <c r="V155" s="14" t="s">
        <v>33</v>
      </c>
      <c r="W155" s="6">
        <v>1</v>
      </c>
      <c r="X155" s="6">
        <v>0.4</v>
      </c>
      <c r="Y155" s="15">
        <f>SUM(X155)/(W155*X$2)</f>
        <v>6.6666666666666666E-2</v>
      </c>
      <c r="Z155" s="16">
        <f>X155/W155</f>
        <v>0.4</v>
      </c>
      <c r="AA155" s="16"/>
      <c r="AB155" s="16"/>
      <c r="AC155" s="13">
        <f>Q155/X155</f>
        <v>0</v>
      </c>
      <c r="AD155" s="13">
        <f>H155/X155</f>
        <v>0</v>
      </c>
      <c r="AE155" s="13">
        <f>J155/X155</f>
        <v>627.5</v>
      </c>
      <c r="AF155" s="12">
        <f t="shared" si="92"/>
        <v>317.5</v>
      </c>
      <c r="AG155" s="12">
        <f t="shared" si="81"/>
        <v>165</v>
      </c>
      <c r="AH155" s="12">
        <f t="shared" si="82"/>
        <v>0</v>
      </c>
      <c r="AI155" s="12">
        <f t="shared" si="83"/>
        <v>0.31358024691358027</v>
      </c>
      <c r="AJ155" s="12">
        <f t="shared" si="84"/>
        <v>0.16296296296296298</v>
      </c>
      <c r="AK155" s="12">
        <f t="shared" si="85"/>
        <v>0</v>
      </c>
      <c r="AL155" s="12">
        <f t="shared" si="86"/>
        <v>0.47654320987654325</v>
      </c>
      <c r="AM155" s="13">
        <f>R155/X155</f>
        <v>0</v>
      </c>
      <c r="AN155" s="13">
        <f>P155/X155</f>
        <v>380</v>
      </c>
      <c r="AO155" s="13">
        <f>S155/X155</f>
        <v>0</v>
      </c>
      <c r="AP155" s="13">
        <f>T155/X155</f>
        <v>0</v>
      </c>
      <c r="AQ155" s="12">
        <f>R155+Q155+P155+J155+H155</f>
        <v>403</v>
      </c>
      <c r="AR155" s="13">
        <f>AO155+AN155+AM155+AE155+AD155+AC155</f>
        <v>1007.5</v>
      </c>
      <c r="AS155" s="17" t="s">
        <v>39</v>
      </c>
    </row>
    <row r="156" spans="1:45" x14ac:dyDescent="0.25">
      <c r="A156" s="22">
        <v>45674</v>
      </c>
      <c r="B156" s="10" t="str">
        <f t="shared" si="93"/>
        <v>2025</v>
      </c>
      <c r="C156" s="10" t="str">
        <f t="shared" si="94"/>
        <v>January</v>
      </c>
      <c r="D156" s="10"/>
      <c r="E156" s="11">
        <v>726</v>
      </c>
      <c r="F156" s="12">
        <v>9801</v>
      </c>
      <c r="G156" s="13">
        <v>1113.75</v>
      </c>
      <c r="H156" s="14" t="s">
        <v>31</v>
      </c>
      <c r="I156" s="6">
        <v>0</v>
      </c>
      <c r="J156" s="6">
        <v>57</v>
      </c>
      <c r="K156" s="6"/>
      <c r="L156" s="6">
        <v>6200</v>
      </c>
      <c r="M156" s="6">
        <v>3162</v>
      </c>
      <c r="N156" s="6">
        <v>3038</v>
      </c>
      <c r="O156" s="6"/>
      <c r="P156" s="6">
        <v>3344</v>
      </c>
      <c r="Q156" s="6">
        <v>0</v>
      </c>
      <c r="R156" s="6">
        <v>0</v>
      </c>
      <c r="S156" s="6">
        <v>0</v>
      </c>
      <c r="T156" s="6">
        <v>0</v>
      </c>
      <c r="U156" s="14" t="s">
        <v>40</v>
      </c>
      <c r="V156" s="14" t="s">
        <v>33</v>
      </c>
      <c r="W156" s="6">
        <v>11</v>
      </c>
      <c r="X156" s="6">
        <v>8.8000000000000007</v>
      </c>
      <c r="Y156" s="15">
        <v>0.94117647058823539</v>
      </c>
      <c r="Z156" s="16">
        <v>0.8</v>
      </c>
      <c r="AA156" s="16"/>
      <c r="AB156" s="16"/>
      <c r="AC156" s="13">
        <v>0</v>
      </c>
      <c r="AD156" s="13">
        <v>0</v>
      </c>
      <c r="AE156" s="13">
        <v>704.5454545454545</v>
      </c>
      <c r="AF156" s="12">
        <f t="shared" si="92"/>
        <v>359.31818181818181</v>
      </c>
      <c r="AG156" s="12">
        <f t="shared" si="81"/>
        <v>345.22727272727269</v>
      </c>
      <c r="AH156" s="12">
        <f t="shared" si="82"/>
        <v>0</v>
      </c>
      <c r="AI156" s="12">
        <f t="shared" si="83"/>
        <v>0.322620140801959</v>
      </c>
      <c r="AJ156" s="12">
        <f t="shared" si="84"/>
        <v>0.30996837057443116</v>
      </c>
      <c r="AK156" s="12">
        <f t="shared" si="85"/>
        <v>0</v>
      </c>
      <c r="AL156" s="12">
        <f t="shared" si="86"/>
        <v>0.63258851137639016</v>
      </c>
      <c r="AM156" s="13">
        <v>0</v>
      </c>
      <c r="AN156" s="13">
        <v>379.99999999999994</v>
      </c>
      <c r="AO156" s="13">
        <v>0</v>
      </c>
      <c r="AP156" s="13">
        <v>0</v>
      </c>
      <c r="AQ156" s="12">
        <v>9544</v>
      </c>
      <c r="AR156" s="13">
        <v>1084.5454545454545</v>
      </c>
      <c r="AS156" s="17" t="s">
        <v>41</v>
      </c>
    </row>
    <row r="157" spans="1:45" x14ac:dyDescent="0.25">
      <c r="A157" s="22">
        <v>45674</v>
      </c>
      <c r="B157" s="10" t="str">
        <f t="shared" si="93"/>
        <v>2025</v>
      </c>
      <c r="C157" s="10" t="str">
        <f t="shared" si="94"/>
        <v>January</v>
      </c>
      <c r="D157" s="10"/>
      <c r="E157" s="11">
        <v>726</v>
      </c>
      <c r="F157" s="12">
        <f>E157*13.5</f>
        <v>9801</v>
      </c>
      <c r="G157" s="14" t="s">
        <v>31</v>
      </c>
      <c r="H157" s="6">
        <v>0</v>
      </c>
      <c r="I157" s="6">
        <v>57</v>
      </c>
      <c r="J157" s="6">
        <f>L157+M157</f>
        <v>6200</v>
      </c>
      <c r="K157" s="6"/>
      <c r="L157" s="6">
        <v>3162</v>
      </c>
      <c r="M157" s="6">
        <v>3038</v>
      </c>
      <c r="N157" s="6">
        <v>1539</v>
      </c>
      <c r="O157" s="6"/>
      <c r="P157" s="6">
        <v>3344</v>
      </c>
      <c r="Q157" s="6">
        <v>0</v>
      </c>
      <c r="R157" s="6">
        <v>0</v>
      </c>
      <c r="S157" s="6">
        <v>0</v>
      </c>
      <c r="T157" s="6">
        <v>0</v>
      </c>
      <c r="U157" s="14" t="s">
        <v>40</v>
      </c>
      <c r="V157" s="14" t="s">
        <v>33</v>
      </c>
      <c r="W157" s="6">
        <v>11</v>
      </c>
      <c r="X157" s="6">
        <v>8.8000000000000007</v>
      </c>
      <c r="Y157" s="15">
        <f>SUM(X157)/(W157*X$2)</f>
        <v>0.13333333333333333</v>
      </c>
      <c r="Z157" s="16">
        <f>X157/W157</f>
        <v>0.8</v>
      </c>
      <c r="AA157" s="16"/>
      <c r="AB157" s="16"/>
      <c r="AC157" s="13">
        <f>Q157/X157</f>
        <v>0</v>
      </c>
      <c r="AD157" s="13">
        <f>H157/X157</f>
        <v>0</v>
      </c>
      <c r="AE157" s="13">
        <f>J157/X157</f>
        <v>704.5454545454545</v>
      </c>
      <c r="AF157" s="12">
        <f t="shared" si="92"/>
        <v>345.22727272727269</v>
      </c>
      <c r="AG157" s="12">
        <f t="shared" si="81"/>
        <v>174.88636363636363</v>
      </c>
      <c r="AH157" s="12">
        <f t="shared" si="82"/>
        <v>0</v>
      </c>
      <c r="AI157" s="12">
        <f t="shared" si="83"/>
        <v>0.30996837057443116</v>
      </c>
      <c r="AJ157" s="12">
        <f t="shared" si="84"/>
        <v>0.15702479338842976</v>
      </c>
      <c r="AK157" s="12">
        <f t="shared" si="85"/>
        <v>0</v>
      </c>
      <c r="AL157" s="12">
        <f t="shared" si="86"/>
        <v>0.46699316396286095</v>
      </c>
      <c r="AM157" s="13">
        <f>R157/X157</f>
        <v>0</v>
      </c>
      <c r="AN157" s="13">
        <f>P157/X157</f>
        <v>379.99999999999994</v>
      </c>
      <c r="AO157" s="13">
        <f>S157/X157</f>
        <v>0</v>
      </c>
      <c r="AP157" s="13">
        <f>T157/X157</f>
        <v>0</v>
      </c>
      <c r="AQ157" s="12">
        <f>R157+Q157+P157+J157+H157</f>
        <v>9544</v>
      </c>
      <c r="AR157" s="13">
        <f>AO157+AN157+AM157+AE157+AD157+AC157</f>
        <v>1084.5454545454545</v>
      </c>
      <c r="AS157" s="17" t="s">
        <v>41</v>
      </c>
    </row>
    <row r="158" spans="1:45" x14ac:dyDescent="0.25">
      <c r="A158" s="22">
        <v>45675</v>
      </c>
      <c r="B158" s="10" t="str">
        <f t="shared" si="93"/>
        <v>2025</v>
      </c>
      <c r="C158" s="10" t="str">
        <f t="shared" si="94"/>
        <v>January</v>
      </c>
      <c r="D158" s="10"/>
      <c r="E158" s="11">
        <v>556</v>
      </c>
      <c r="F158" s="12">
        <v>7506</v>
      </c>
      <c r="G158" s="13">
        <v>1057.1830985915494</v>
      </c>
      <c r="H158" s="14" t="s">
        <v>31</v>
      </c>
      <c r="I158" s="6">
        <v>0</v>
      </c>
      <c r="J158" s="6">
        <v>57</v>
      </c>
      <c r="K158" s="6"/>
      <c r="L158" s="6">
        <v>4660</v>
      </c>
      <c r="M158" s="6">
        <v>2351</v>
      </c>
      <c r="N158" s="6">
        <v>2309</v>
      </c>
      <c r="O158" s="6"/>
      <c r="P158" s="6">
        <v>2298</v>
      </c>
      <c r="Q158" s="6">
        <v>0</v>
      </c>
      <c r="R158" s="6">
        <v>600</v>
      </c>
      <c r="S158" s="6">
        <v>0</v>
      </c>
      <c r="T158" s="6">
        <v>0</v>
      </c>
      <c r="U158" s="14" t="s">
        <v>40</v>
      </c>
      <c r="V158" s="14" t="s">
        <v>33</v>
      </c>
      <c r="W158" s="6">
        <v>10</v>
      </c>
      <c r="X158" s="6">
        <v>7.1</v>
      </c>
      <c r="Y158" s="15">
        <v>0.83529411764705874</v>
      </c>
      <c r="Z158" s="16">
        <v>0.71</v>
      </c>
      <c r="AA158" s="16"/>
      <c r="AB158" s="16"/>
      <c r="AC158" s="13">
        <v>0</v>
      </c>
      <c r="AD158" s="13">
        <v>0</v>
      </c>
      <c r="AE158" s="13">
        <v>656.33802816901414</v>
      </c>
      <c r="AF158" s="12">
        <f t="shared" si="92"/>
        <v>331.12676056338029</v>
      </c>
      <c r="AG158" s="12">
        <f t="shared" si="81"/>
        <v>325.21126760563379</v>
      </c>
      <c r="AH158" s="12">
        <f t="shared" si="82"/>
        <v>0</v>
      </c>
      <c r="AI158" s="12">
        <f t="shared" si="83"/>
        <v>0.31321609379163334</v>
      </c>
      <c r="AJ158" s="12">
        <f t="shared" si="84"/>
        <v>0.30762057021049827</v>
      </c>
      <c r="AK158" s="12">
        <f t="shared" si="85"/>
        <v>0</v>
      </c>
      <c r="AL158" s="12">
        <f t="shared" si="86"/>
        <v>0.62083666400213167</v>
      </c>
      <c r="AM158" s="13">
        <v>84.507042253521135</v>
      </c>
      <c r="AN158" s="13">
        <v>323.66197183098592</v>
      </c>
      <c r="AO158" s="13">
        <v>0</v>
      </c>
      <c r="AP158" s="13">
        <v>0</v>
      </c>
      <c r="AQ158" s="12">
        <v>7558</v>
      </c>
      <c r="AR158" s="13">
        <v>1064.5070422535211</v>
      </c>
      <c r="AS158" s="17"/>
    </row>
    <row r="159" spans="1:45" x14ac:dyDescent="0.25">
      <c r="A159" s="22">
        <v>45675</v>
      </c>
      <c r="B159" s="10" t="str">
        <f t="shared" si="93"/>
        <v>2025</v>
      </c>
      <c r="C159" s="10" t="str">
        <f t="shared" si="94"/>
        <v>January</v>
      </c>
      <c r="D159" s="10"/>
      <c r="E159" s="11">
        <v>556</v>
      </c>
      <c r="F159" s="12">
        <f>E159*13.5</f>
        <v>7506</v>
      </c>
      <c r="G159" s="14" t="s">
        <v>31</v>
      </c>
      <c r="H159" s="6">
        <v>0</v>
      </c>
      <c r="I159" s="6">
        <v>57</v>
      </c>
      <c r="J159" s="6">
        <f>L159+M159</f>
        <v>4660</v>
      </c>
      <c r="K159" s="6"/>
      <c r="L159" s="6">
        <v>2351</v>
      </c>
      <c r="M159" s="6">
        <v>2309</v>
      </c>
      <c r="N159" s="6">
        <v>870</v>
      </c>
      <c r="O159" s="6"/>
      <c r="P159" s="6">
        <v>2298</v>
      </c>
      <c r="Q159" s="6">
        <v>0</v>
      </c>
      <c r="R159" s="6">
        <v>600</v>
      </c>
      <c r="S159" s="6">
        <v>0</v>
      </c>
      <c r="T159" s="6">
        <v>0</v>
      </c>
      <c r="U159" s="14" t="s">
        <v>40</v>
      </c>
      <c r="V159" s="14" t="s">
        <v>33</v>
      </c>
      <c r="W159" s="6">
        <v>10</v>
      </c>
      <c r="X159" s="6">
        <v>7.1</v>
      </c>
      <c r="Y159" s="15">
        <f>SUM(X159)/(W159*X$2)</f>
        <v>0.11833333333333333</v>
      </c>
      <c r="Z159" s="16">
        <f>X159/W159</f>
        <v>0.71</v>
      </c>
      <c r="AA159" s="16"/>
      <c r="AB159" s="16"/>
      <c r="AC159" s="13">
        <f>Q159/X159</f>
        <v>0</v>
      </c>
      <c r="AD159" s="13">
        <f>H159/X159</f>
        <v>0</v>
      </c>
      <c r="AE159" s="13">
        <f>J159/X159</f>
        <v>656.33802816901414</v>
      </c>
      <c r="AF159" s="12">
        <f t="shared" si="92"/>
        <v>325.21126760563379</v>
      </c>
      <c r="AG159" s="12">
        <f t="shared" si="81"/>
        <v>122.53521126760565</v>
      </c>
      <c r="AH159" s="12">
        <f t="shared" si="82"/>
        <v>0</v>
      </c>
      <c r="AI159" s="12">
        <f t="shared" si="83"/>
        <v>0.30762057021049827</v>
      </c>
      <c r="AJ159" s="12">
        <f t="shared" si="84"/>
        <v>0.11590727418065548</v>
      </c>
      <c r="AK159" s="12">
        <f t="shared" si="85"/>
        <v>0</v>
      </c>
      <c r="AL159" s="12">
        <f t="shared" si="86"/>
        <v>0.42352784439115376</v>
      </c>
      <c r="AM159" s="13">
        <f>R159/X159</f>
        <v>84.507042253521135</v>
      </c>
      <c r="AN159" s="13">
        <f>P159/X159</f>
        <v>323.66197183098592</v>
      </c>
      <c r="AO159" s="13">
        <f>S159/X159</f>
        <v>0</v>
      </c>
      <c r="AP159" s="13">
        <f>T159/X159</f>
        <v>0</v>
      </c>
      <c r="AQ159" s="12">
        <f>R159+Q159+P159+J159+H159</f>
        <v>7558</v>
      </c>
      <c r="AR159" s="13">
        <f>AO159+AN159+AM159+AE159+AD159+AC159</f>
        <v>1064.5070422535211</v>
      </c>
      <c r="AS159" s="17"/>
    </row>
    <row r="160" spans="1:45" x14ac:dyDescent="0.25">
      <c r="A160" s="22">
        <v>45676</v>
      </c>
      <c r="B160" s="10" t="str">
        <f t="shared" si="93"/>
        <v>2025</v>
      </c>
      <c r="C160" s="10" t="str">
        <f t="shared" si="94"/>
        <v>January</v>
      </c>
      <c r="D160" s="10"/>
      <c r="E160" s="11"/>
      <c r="F160" s="12"/>
      <c r="G160" s="1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14"/>
      <c r="V160" s="14"/>
      <c r="W160" s="6"/>
      <c r="X160" s="6"/>
      <c r="Y160" s="15"/>
      <c r="Z160" s="16">
        <v>0</v>
      </c>
      <c r="AA160" s="16"/>
      <c r="AB160" s="16"/>
      <c r="AC160" s="13"/>
      <c r="AD160" s="13"/>
      <c r="AE160" s="13"/>
      <c r="AF160" s="12"/>
      <c r="AG160" s="12"/>
      <c r="AH160" s="12"/>
      <c r="AI160" s="12"/>
      <c r="AJ160" s="12"/>
      <c r="AK160" s="12"/>
      <c r="AL160" s="12"/>
      <c r="AM160" s="13"/>
      <c r="AN160" s="13"/>
      <c r="AO160" s="13"/>
      <c r="AP160" s="13"/>
      <c r="AQ160" s="12"/>
      <c r="AR160" s="13"/>
      <c r="AS160" s="17"/>
    </row>
    <row r="161" spans="1:45" x14ac:dyDescent="0.25">
      <c r="A161" s="22">
        <v>45677</v>
      </c>
      <c r="B161" s="10" t="str">
        <f t="shared" si="93"/>
        <v>2025</v>
      </c>
      <c r="C161" s="10" t="str">
        <f t="shared" si="94"/>
        <v>January</v>
      </c>
      <c r="D161" s="10"/>
      <c r="E161" s="11"/>
      <c r="F161" s="12"/>
      <c r="G161" s="14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14"/>
      <c r="V161" s="14"/>
      <c r="W161" s="6"/>
      <c r="X161" s="6"/>
      <c r="Y161" s="15"/>
      <c r="Z161" s="16">
        <v>0</v>
      </c>
      <c r="AA161" s="16"/>
      <c r="AB161" s="16"/>
      <c r="AC161" s="13"/>
      <c r="AD161" s="13"/>
      <c r="AE161" s="13"/>
      <c r="AF161" s="12"/>
      <c r="AG161" s="12"/>
      <c r="AH161" s="12"/>
      <c r="AI161" s="12"/>
      <c r="AJ161" s="12"/>
      <c r="AK161" s="12"/>
      <c r="AL161" s="12"/>
      <c r="AM161" s="13"/>
      <c r="AN161" s="13"/>
      <c r="AO161" s="13"/>
      <c r="AP161" s="13"/>
      <c r="AQ161" s="12"/>
      <c r="AR161" s="13"/>
      <c r="AS161" s="17"/>
    </row>
    <row r="162" spans="1:45" x14ac:dyDescent="0.25">
      <c r="A162" s="22">
        <v>45678</v>
      </c>
      <c r="B162" s="10" t="str">
        <f t="shared" si="93"/>
        <v>2025</v>
      </c>
      <c r="C162" s="10" t="str">
        <f t="shared" si="94"/>
        <v>January</v>
      </c>
      <c r="D162" s="10"/>
      <c r="E162" s="11"/>
      <c r="F162" s="12"/>
      <c r="G162" s="1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14"/>
      <c r="V162" s="14"/>
      <c r="W162" s="6"/>
      <c r="X162" s="6"/>
      <c r="Y162" s="15"/>
      <c r="Z162" s="16">
        <v>0</v>
      </c>
      <c r="AA162" s="16"/>
      <c r="AB162" s="16"/>
      <c r="AC162" s="13"/>
      <c r="AD162" s="13"/>
      <c r="AE162" s="13"/>
      <c r="AF162" s="12"/>
      <c r="AG162" s="12"/>
      <c r="AH162" s="12"/>
      <c r="AI162" s="12"/>
      <c r="AJ162" s="12"/>
      <c r="AK162" s="12"/>
      <c r="AL162" s="12"/>
      <c r="AM162" s="13"/>
      <c r="AN162" s="13"/>
      <c r="AO162" s="13"/>
      <c r="AP162" s="13"/>
      <c r="AQ162" s="12"/>
      <c r="AR162" s="13"/>
      <c r="AS162" s="17"/>
    </row>
    <row r="163" spans="1:45" x14ac:dyDescent="0.25">
      <c r="A163" s="22">
        <v>45680</v>
      </c>
      <c r="B163" s="10" t="str">
        <f t="shared" si="93"/>
        <v>2025</v>
      </c>
      <c r="C163" s="10" t="str">
        <f t="shared" si="94"/>
        <v>January</v>
      </c>
      <c r="D163" s="10"/>
      <c r="E163" s="11">
        <v>427</v>
      </c>
      <c r="F163" s="12">
        <v>5764.5</v>
      </c>
      <c r="G163" s="13">
        <v>993.87931034482767</v>
      </c>
      <c r="H163" s="14" t="s">
        <v>31</v>
      </c>
      <c r="I163" s="6">
        <v>0</v>
      </c>
      <c r="J163" s="6">
        <v>57</v>
      </c>
      <c r="K163" s="6"/>
      <c r="L163" s="6">
        <v>3404</v>
      </c>
      <c r="M163" s="6">
        <v>1750</v>
      </c>
      <c r="N163" s="6">
        <v>1654</v>
      </c>
      <c r="O163" s="6"/>
      <c r="P163" s="6">
        <v>1824</v>
      </c>
      <c r="Q163" s="6">
        <v>0</v>
      </c>
      <c r="R163" s="6">
        <v>718</v>
      </c>
      <c r="S163" s="6">
        <v>0</v>
      </c>
      <c r="T163" s="6">
        <v>0</v>
      </c>
      <c r="U163" s="14" t="s">
        <v>40</v>
      </c>
      <c r="V163" s="14" t="s">
        <v>33</v>
      </c>
      <c r="W163" s="6">
        <v>10</v>
      </c>
      <c r="X163" s="6">
        <v>5.8</v>
      </c>
      <c r="Y163" s="15">
        <v>0.68235294117647061</v>
      </c>
      <c r="Z163" s="16">
        <v>0.57999999999999996</v>
      </c>
      <c r="AA163" s="16"/>
      <c r="AB163" s="16"/>
      <c r="AC163" s="13">
        <v>0</v>
      </c>
      <c r="AD163" s="13">
        <v>0</v>
      </c>
      <c r="AE163" s="13">
        <v>586.89655172413791</v>
      </c>
      <c r="AF163" s="12">
        <f t="shared" si="92"/>
        <v>301.72413793103448</v>
      </c>
      <c r="AG163" s="12">
        <f t="shared" si="81"/>
        <v>285.17241379310343</v>
      </c>
      <c r="AH163" s="12">
        <f t="shared" si="82"/>
        <v>0</v>
      </c>
      <c r="AI163" s="12">
        <f t="shared" si="83"/>
        <v>0.30358227079538552</v>
      </c>
      <c r="AJ163" s="12">
        <f t="shared" si="84"/>
        <v>0.28692861479746723</v>
      </c>
      <c r="AK163" s="12">
        <f t="shared" si="85"/>
        <v>0</v>
      </c>
      <c r="AL163" s="12">
        <f t="shared" si="86"/>
        <v>0.5905108855928527</v>
      </c>
      <c r="AM163" s="13">
        <v>123.79310344827587</v>
      </c>
      <c r="AN163" s="13">
        <v>314.48275862068965</v>
      </c>
      <c r="AO163" s="13">
        <v>0</v>
      </c>
      <c r="AP163" s="13">
        <v>0</v>
      </c>
      <c r="AQ163" s="12">
        <v>5946</v>
      </c>
      <c r="AR163" s="13">
        <v>1025.1724137931035</v>
      </c>
      <c r="AS163" s="17" t="s">
        <v>42</v>
      </c>
    </row>
    <row r="164" spans="1:45" x14ac:dyDescent="0.25">
      <c r="A164" s="22">
        <v>45680</v>
      </c>
      <c r="B164" s="10" t="str">
        <f t="shared" si="93"/>
        <v>2025</v>
      </c>
      <c r="C164" s="10" t="str">
        <f t="shared" si="94"/>
        <v>January</v>
      </c>
      <c r="D164" s="10"/>
      <c r="E164" s="11">
        <v>427</v>
      </c>
      <c r="F164" s="12">
        <f>E164*13.5</f>
        <v>5764.5</v>
      </c>
      <c r="G164" s="14" t="s">
        <v>31</v>
      </c>
      <c r="H164" s="6">
        <v>0</v>
      </c>
      <c r="I164" s="6">
        <v>57</v>
      </c>
      <c r="J164" s="6">
        <f>L164+M164</f>
        <v>3404</v>
      </c>
      <c r="K164" s="6"/>
      <c r="L164" s="6">
        <v>1750</v>
      </c>
      <c r="M164" s="6">
        <v>1654</v>
      </c>
      <c r="N164" s="6">
        <v>1060</v>
      </c>
      <c r="O164" s="6"/>
      <c r="P164" s="6">
        <v>1824</v>
      </c>
      <c r="Q164" s="6">
        <v>0</v>
      </c>
      <c r="R164" s="6">
        <v>718</v>
      </c>
      <c r="S164" s="6">
        <v>0</v>
      </c>
      <c r="T164" s="6">
        <v>0</v>
      </c>
      <c r="U164" s="14" t="s">
        <v>40</v>
      </c>
      <c r="V164" s="14" t="s">
        <v>33</v>
      </c>
      <c r="W164" s="6">
        <v>10</v>
      </c>
      <c r="X164" s="6">
        <v>5.8</v>
      </c>
      <c r="Y164" s="15">
        <f>SUM(X164)/(W164*X$2)</f>
        <v>9.6666666666666665E-2</v>
      </c>
      <c r="Z164" s="16">
        <f>X164/W164</f>
        <v>0.57999999999999996</v>
      </c>
      <c r="AA164" s="16"/>
      <c r="AB164" s="16"/>
      <c r="AC164" s="13">
        <f>Q164/X164</f>
        <v>0</v>
      </c>
      <c r="AD164" s="13">
        <f>H164/X164</f>
        <v>0</v>
      </c>
      <c r="AE164" s="13">
        <f>J164/X164</f>
        <v>586.89655172413791</v>
      </c>
      <c r="AF164" s="12">
        <f t="shared" si="92"/>
        <v>285.17241379310343</v>
      </c>
      <c r="AG164" s="12">
        <f t="shared" si="81"/>
        <v>182.75862068965517</v>
      </c>
      <c r="AH164" s="12">
        <f t="shared" si="82"/>
        <v>0</v>
      </c>
      <c r="AI164" s="12">
        <f t="shared" si="83"/>
        <v>0.28692861479746723</v>
      </c>
      <c r="AJ164" s="12">
        <f t="shared" si="84"/>
        <v>0.18388411831034782</v>
      </c>
      <c r="AK164" s="12">
        <f t="shared" si="85"/>
        <v>0</v>
      </c>
      <c r="AL164" s="12">
        <f t="shared" si="86"/>
        <v>0.47081273310781502</v>
      </c>
      <c r="AM164" s="13">
        <f>R164/X164</f>
        <v>123.79310344827587</v>
      </c>
      <c r="AN164" s="13">
        <f>P164/X164</f>
        <v>314.48275862068965</v>
      </c>
      <c r="AO164" s="13">
        <f>S164/X164</f>
        <v>0</v>
      </c>
      <c r="AP164" s="13">
        <f>T164/X164</f>
        <v>0</v>
      </c>
      <c r="AQ164" s="12">
        <f>R164+Q164+P164+J164+H164</f>
        <v>5946</v>
      </c>
      <c r="AR164" s="13">
        <f>AO164+AN164+AM164+AE164+AD164+AC164</f>
        <v>1025.1724137931035</v>
      </c>
      <c r="AS164" s="17" t="s">
        <v>42</v>
      </c>
    </row>
    <row r="165" spans="1:45" x14ac:dyDescent="0.25">
      <c r="A165" s="22">
        <v>45681</v>
      </c>
      <c r="B165" s="10" t="str">
        <f t="shared" si="93"/>
        <v>2025</v>
      </c>
      <c r="C165" s="10" t="str">
        <f t="shared" si="94"/>
        <v>January</v>
      </c>
      <c r="D165" s="10"/>
      <c r="E165" s="11"/>
      <c r="F165" s="12"/>
      <c r="G165" s="1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14"/>
      <c r="V165" s="14"/>
      <c r="W165" s="6"/>
      <c r="X165" s="6"/>
      <c r="Y165" s="15"/>
      <c r="Z165" s="16">
        <v>0</v>
      </c>
      <c r="AA165" s="16"/>
      <c r="AB165" s="16"/>
      <c r="AC165" s="13"/>
      <c r="AD165" s="13"/>
      <c r="AE165" s="13"/>
      <c r="AF165" s="12"/>
      <c r="AG165" s="12"/>
      <c r="AH165" s="12"/>
      <c r="AI165" s="12"/>
      <c r="AJ165" s="12"/>
      <c r="AK165" s="12"/>
      <c r="AL165" s="12"/>
      <c r="AM165" s="13"/>
      <c r="AN165" s="13"/>
      <c r="AO165" s="13"/>
      <c r="AP165" s="13"/>
      <c r="AQ165" s="12"/>
      <c r="AR165" s="13"/>
      <c r="AS165" s="17"/>
    </row>
    <row r="166" spans="1:45" x14ac:dyDescent="0.25">
      <c r="A166" s="22">
        <v>45685</v>
      </c>
      <c r="B166" s="10" t="str">
        <f t="shared" si="93"/>
        <v>2025</v>
      </c>
      <c r="C166" s="10" t="str">
        <f t="shared" si="94"/>
        <v>January</v>
      </c>
      <c r="D166" s="10"/>
      <c r="E166" s="11">
        <v>633</v>
      </c>
      <c r="F166" s="12">
        <v>8545.5</v>
      </c>
      <c r="G166" s="13">
        <v>1068.1875</v>
      </c>
      <c r="H166" s="14" t="s">
        <v>31</v>
      </c>
      <c r="I166" s="6">
        <v>0</v>
      </c>
      <c r="J166" s="6">
        <v>57</v>
      </c>
      <c r="K166" s="6"/>
      <c r="L166" s="6">
        <v>5550</v>
      </c>
      <c r="M166" s="6">
        <v>2951</v>
      </c>
      <c r="N166" s="6">
        <v>2599</v>
      </c>
      <c r="O166" s="6"/>
      <c r="P166" s="6">
        <v>3040</v>
      </c>
      <c r="Q166" s="6">
        <v>0</v>
      </c>
      <c r="R166" s="6">
        <v>0</v>
      </c>
      <c r="S166" s="6">
        <v>0</v>
      </c>
      <c r="T166" s="6">
        <v>0</v>
      </c>
      <c r="U166" s="14" t="s">
        <v>43</v>
      </c>
      <c r="V166" s="14" t="s">
        <v>33</v>
      </c>
      <c r="W166" s="6">
        <v>12</v>
      </c>
      <c r="X166" s="6">
        <v>8</v>
      </c>
      <c r="Y166" s="15">
        <v>0.78431372549019618</v>
      </c>
      <c r="Z166" s="16">
        <v>0.66666666666666663</v>
      </c>
      <c r="AA166" s="16"/>
      <c r="AB166" s="16"/>
      <c r="AC166" s="13">
        <v>0</v>
      </c>
      <c r="AD166" s="13">
        <v>0</v>
      </c>
      <c r="AE166" s="13">
        <v>693.75</v>
      </c>
      <c r="AF166" s="12">
        <f t="shared" si="92"/>
        <v>368.875</v>
      </c>
      <c r="AG166" s="12">
        <f t="shared" si="81"/>
        <v>324.875</v>
      </c>
      <c r="AH166" s="12">
        <f t="shared" si="82"/>
        <v>0</v>
      </c>
      <c r="AI166" s="12">
        <f t="shared" si="83"/>
        <v>0.34532795038324265</v>
      </c>
      <c r="AJ166" s="12">
        <f t="shared" si="84"/>
        <v>0.30413668012404188</v>
      </c>
      <c r="AK166" s="12">
        <f t="shared" si="85"/>
        <v>0</v>
      </c>
      <c r="AL166" s="12">
        <f t="shared" si="86"/>
        <v>0.64946463050728453</v>
      </c>
      <c r="AM166" s="13">
        <v>0</v>
      </c>
      <c r="AN166" s="13">
        <v>380</v>
      </c>
      <c r="AO166" s="13">
        <v>0</v>
      </c>
      <c r="AP166" s="13">
        <v>0</v>
      </c>
      <c r="AQ166" s="12">
        <v>8590</v>
      </c>
      <c r="AR166" s="13">
        <v>1073.75</v>
      </c>
      <c r="AS166" s="17" t="s">
        <v>44</v>
      </c>
    </row>
    <row r="167" spans="1:45" x14ac:dyDescent="0.25">
      <c r="A167" s="22">
        <v>45685</v>
      </c>
      <c r="B167" s="10" t="str">
        <f t="shared" si="93"/>
        <v>2025</v>
      </c>
      <c r="C167" s="10" t="str">
        <f t="shared" si="94"/>
        <v>January</v>
      </c>
      <c r="D167" s="10"/>
      <c r="E167" s="11">
        <v>633</v>
      </c>
      <c r="F167" s="12">
        <f>E167*13.5</f>
        <v>8545.5</v>
      </c>
      <c r="G167" s="14" t="s">
        <v>31</v>
      </c>
      <c r="H167" s="6">
        <v>0</v>
      </c>
      <c r="I167" s="6">
        <v>57</v>
      </c>
      <c r="J167" s="6">
        <f>L167+M167</f>
        <v>5550</v>
      </c>
      <c r="K167" s="6"/>
      <c r="L167" s="6">
        <v>2951</v>
      </c>
      <c r="M167" s="6">
        <v>2599</v>
      </c>
      <c r="N167" s="6">
        <v>1299</v>
      </c>
      <c r="O167" s="6"/>
      <c r="P167" s="6">
        <v>3040</v>
      </c>
      <c r="Q167" s="6">
        <v>0</v>
      </c>
      <c r="R167" s="6">
        <v>0</v>
      </c>
      <c r="S167" s="6">
        <v>0</v>
      </c>
      <c r="T167" s="6">
        <v>0</v>
      </c>
      <c r="U167" s="14" t="s">
        <v>43</v>
      </c>
      <c r="V167" s="14" t="s">
        <v>33</v>
      </c>
      <c r="W167" s="6">
        <v>12</v>
      </c>
      <c r="X167" s="6">
        <v>8</v>
      </c>
      <c r="Y167" s="15">
        <f>SUM(X167)/(W167*X$2)</f>
        <v>0.1111111111111111</v>
      </c>
      <c r="Z167" s="16">
        <f>X167/W167</f>
        <v>0.66666666666666663</v>
      </c>
      <c r="AA167" s="16"/>
      <c r="AB167" s="16"/>
      <c r="AC167" s="13">
        <f>Q167/X167</f>
        <v>0</v>
      </c>
      <c r="AD167" s="13">
        <f>H167/X167</f>
        <v>0</v>
      </c>
      <c r="AE167" s="13">
        <f>J167/X167</f>
        <v>693.75</v>
      </c>
      <c r="AF167" s="12">
        <f t="shared" si="92"/>
        <v>324.875</v>
      </c>
      <c r="AG167" s="12">
        <f t="shared" si="81"/>
        <v>162.375</v>
      </c>
      <c r="AH167" s="12">
        <f t="shared" si="82"/>
        <v>0</v>
      </c>
      <c r="AI167" s="12">
        <f t="shared" si="83"/>
        <v>0.30413668012404188</v>
      </c>
      <c r="AJ167" s="12">
        <f t="shared" si="84"/>
        <v>0.15200982973494823</v>
      </c>
      <c r="AK167" s="12">
        <f t="shared" si="85"/>
        <v>0</v>
      </c>
      <c r="AL167" s="12">
        <f t="shared" si="86"/>
        <v>0.45614650985899008</v>
      </c>
      <c r="AM167" s="13">
        <f>R167/X167</f>
        <v>0</v>
      </c>
      <c r="AN167" s="13">
        <f>P167/X167</f>
        <v>380</v>
      </c>
      <c r="AO167" s="13">
        <f>S167/X167</f>
        <v>0</v>
      </c>
      <c r="AP167" s="13">
        <f>T167/X167</f>
        <v>0</v>
      </c>
      <c r="AQ167" s="12">
        <f>R167+Q167+P167+J167+H167</f>
        <v>8590</v>
      </c>
      <c r="AR167" s="13">
        <f>AO167+AN167+AM167+AE167+AD167+AC167</f>
        <v>1073.75</v>
      </c>
      <c r="AS167" s="17" t="s">
        <v>44</v>
      </c>
    </row>
    <row r="168" spans="1:45" x14ac:dyDescent="0.25">
      <c r="A168" s="22">
        <v>45686</v>
      </c>
      <c r="B168" s="10" t="str">
        <f t="shared" si="93"/>
        <v>2025</v>
      </c>
      <c r="C168" s="10" t="str">
        <f t="shared" si="94"/>
        <v>January</v>
      </c>
      <c r="D168" s="10"/>
      <c r="E168" s="11"/>
      <c r="F168" s="12"/>
      <c r="G168" s="14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14"/>
      <c r="V168" s="14"/>
      <c r="W168" s="6"/>
      <c r="X168" s="6"/>
      <c r="Y168" s="15"/>
      <c r="Z168" s="16">
        <v>0</v>
      </c>
      <c r="AA168" s="16"/>
      <c r="AB168" s="16"/>
      <c r="AC168" s="13"/>
      <c r="AD168" s="13"/>
      <c r="AE168" s="13"/>
      <c r="AF168" s="12"/>
      <c r="AG168" s="12"/>
      <c r="AH168" s="12"/>
      <c r="AI168" s="12"/>
      <c r="AJ168" s="12"/>
      <c r="AK168" s="12"/>
      <c r="AL168" s="12"/>
      <c r="AM168" s="13"/>
      <c r="AN168" s="13"/>
      <c r="AO168" s="13"/>
      <c r="AP168" s="13"/>
      <c r="AQ168" s="12"/>
      <c r="AR168" s="13"/>
      <c r="AS168" s="17"/>
    </row>
    <row r="169" spans="1:45" x14ac:dyDescent="0.25">
      <c r="A169" s="22">
        <v>45687</v>
      </c>
      <c r="B169" s="10" t="str">
        <f t="shared" si="93"/>
        <v>2025</v>
      </c>
      <c r="C169" s="10" t="str">
        <f t="shared" si="94"/>
        <v>January</v>
      </c>
      <c r="D169" s="10"/>
      <c r="E169" s="11"/>
      <c r="F169" s="12"/>
      <c r="G169" s="1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14"/>
      <c r="V169" s="14"/>
      <c r="W169" s="6"/>
      <c r="X169" s="6"/>
      <c r="Y169" s="15"/>
      <c r="Z169" s="16">
        <v>0</v>
      </c>
      <c r="AA169" s="16"/>
      <c r="AB169" s="16"/>
      <c r="AC169" s="13"/>
      <c r="AD169" s="13"/>
      <c r="AE169" s="13"/>
      <c r="AF169" s="12"/>
      <c r="AG169" s="12"/>
      <c r="AH169" s="12"/>
      <c r="AI169" s="12"/>
      <c r="AJ169" s="12"/>
      <c r="AK169" s="12"/>
      <c r="AL169" s="12"/>
      <c r="AM169" s="13"/>
      <c r="AN169" s="13"/>
      <c r="AO169" s="13"/>
      <c r="AP169" s="13"/>
      <c r="AQ169" s="12"/>
      <c r="AR169" s="13"/>
      <c r="AS169" s="17"/>
    </row>
    <row r="170" spans="1:45" x14ac:dyDescent="0.25">
      <c r="A170" s="22">
        <v>45688</v>
      </c>
      <c r="B170" s="10" t="str">
        <f t="shared" si="93"/>
        <v>2025</v>
      </c>
      <c r="C170" s="10" t="str">
        <f t="shared" si="94"/>
        <v>January</v>
      </c>
      <c r="D170" s="10"/>
      <c r="E170" s="11"/>
      <c r="F170" s="12"/>
      <c r="G170" s="1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14"/>
      <c r="V170" s="14"/>
      <c r="W170" s="6"/>
      <c r="X170" s="6"/>
      <c r="Y170" s="15"/>
      <c r="Z170" s="16">
        <v>0</v>
      </c>
      <c r="AA170" s="16"/>
      <c r="AB170" s="16"/>
      <c r="AC170" s="13"/>
      <c r="AD170" s="13"/>
      <c r="AE170" s="13"/>
      <c r="AF170" s="12"/>
      <c r="AG170" s="12"/>
      <c r="AH170" s="12"/>
      <c r="AI170" s="12"/>
      <c r="AJ170" s="12"/>
      <c r="AK170" s="12"/>
      <c r="AL170" s="12"/>
      <c r="AM170" s="13"/>
      <c r="AN170" s="13"/>
      <c r="AO170" s="13"/>
      <c r="AP170" s="13"/>
      <c r="AQ170" s="12"/>
      <c r="AR170" s="13"/>
      <c r="AS170" s="17"/>
    </row>
    <row r="171" spans="1:45" x14ac:dyDescent="0.25">
      <c r="A171" s="22">
        <v>45699</v>
      </c>
      <c r="B171" s="10" t="str">
        <f t="shared" si="93"/>
        <v>2025</v>
      </c>
      <c r="C171" s="10" t="str">
        <f t="shared" si="94"/>
        <v>February</v>
      </c>
      <c r="D171" s="10"/>
      <c r="E171" s="11">
        <v>282</v>
      </c>
      <c r="F171" s="12">
        <v>3807</v>
      </c>
      <c r="G171" s="13">
        <v>1119.7058823529412</v>
      </c>
      <c r="H171" s="14" t="s">
        <v>31</v>
      </c>
      <c r="I171" s="6">
        <v>0</v>
      </c>
      <c r="J171" s="6">
        <v>57</v>
      </c>
      <c r="K171" s="6"/>
      <c r="L171" s="6">
        <v>2728</v>
      </c>
      <c r="M171" s="6">
        <v>1053</v>
      </c>
      <c r="N171" s="6">
        <v>1675</v>
      </c>
      <c r="O171" s="6"/>
      <c r="P171" s="6">
        <v>1292</v>
      </c>
      <c r="Q171" s="6">
        <v>0</v>
      </c>
      <c r="R171" s="6">
        <v>0</v>
      </c>
      <c r="S171" s="6">
        <v>0</v>
      </c>
      <c r="T171" s="6">
        <v>0</v>
      </c>
      <c r="U171" s="14" t="s">
        <v>45</v>
      </c>
      <c r="V171" s="14" t="s">
        <v>33</v>
      </c>
      <c r="W171" s="6">
        <v>10</v>
      </c>
      <c r="X171" s="6">
        <v>3.4</v>
      </c>
      <c r="Y171" s="15">
        <v>0.39999999999999997</v>
      </c>
      <c r="Z171" s="16">
        <v>0.33999999999999997</v>
      </c>
      <c r="AA171" s="16"/>
      <c r="AB171" s="16"/>
      <c r="AC171" s="13">
        <v>0</v>
      </c>
      <c r="AD171" s="13">
        <v>0</v>
      </c>
      <c r="AE171" s="13">
        <v>802.35294117647061</v>
      </c>
      <c r="AF171" s="12">
        <f t="shared" si="92"/>
        <v>309.70588235294116</v>
      </c>
      <c r="AG171" s="12">
        <f t="shared" si="81"/>
        <v>492.64705882352945</v>
      </c>
      <c r="AH171" s="12">
        <f t="shared" si="82"/>
        <v>0</v>
      </c>
      <c r="AI171" s="12">
        <f t="shared" si="83"/>
        <v>0.27659574468085107</v>
      </c>
      <c r="AJ171" s="12">
        <f t="shared" si="84"/>
        <v>0.43997898607827685</v>
      </c>
      <c r="AK171" s="12">
        <f t="shared" si="85"/>
        <v>0</v>
      </c>
      <c r="AL171" s="12">
        <f t="shared" si="86"/>
        <v>0.71657473075912792</v>
      </c>
      <c r="AM171" s="13">
        <v>0</v>
      </c>
      <c r="AN171" s="13">
        <v>380</v>
      </c>
      <c r="AO171" s="13">
        <v>0</v>
      </c>
      <c r="AP171" s="13">
        <v>0</v>
      </c>
      <c r="AQ171" s="12">
        <v>4020</v>
      </c>
      <c r="AR171" s="13">
        <v>1182.3529411764707</v>
      </c>
      <c r="AS171" s="17" t="s">
        <v>46</v>
      </c>
    </row>
    <row r="172" spans="1:45" x14ac:dyDescent="0.25">
      <c r="A172" s="22">
        <v>45699</v>
      </c>
      <c r="B172" s="10" t="str">
        <f t="shared" si="93"/>
        <v>2025</v>
      </c>
      <c r="C172" s="10" t="str">
        <f t="shared" si="94"/>
        <v>February</v>
      </c>
      <c r="D172" s="10"/>
      <c r="E172" s="11">
        <v>282</v>
      </c>
      <c r="F172" s="12">
        <f>E172*13.5</f>
        <v>3807</v>
      </c>
      <c r="G172" s="14" t="s">
        <v>31</v>
      </c>
      <c r="H172" s="6">
        <v>0</v>
      </c>
      <c r="I172" s="6">
        <v>57</v>
      </c>
      <c r="J172" s="6">
        <f>L172+M172</f>
        <v>2728</v>
      </c>
      <c r="K172" s="6"/>
      <c r="L172" s="6">
        <v>1053</v>
      </c>
      <c r="M172" s="6">
        <v>1675</v>
      </c>
      <c r="N172" s="6">
        <v>0</v>
      </c>
      <c r="O172" s="6"/>
      <c r="P172" s="6">
        <v>1292</v>
      </c>
      <c r="Q172" s="6">
        <v>0</v>
      </c>
      <c r="R172" s="6">
        <v>0</v>
      </c>
      <c r="S172" s="6">
        <v>0</v>
      </c>
      <c r="T172" s="6">
        <v>0</v>
      </c>
      <c r="U172" s="14" t="s">
        <v>45</v>
      </c>
      <c r="V172" s="14" t="s">
        <v>33</v>
      </c>
      <c r="W172" s="6">
        <v>10</v>
      </c>
      <c r="X172" s="6">
        <v>3.4</v>
      </c>
      <c r="Y172" s="15">
        <f>SUM(X172)/(W172*X$2)</f>
        <v>5.6666666666666664E-2</v>
      </c>
      <c r="Z172" s="16">
        <f>X172/W172</f>
        <v>0.33999999999999997</v>
      </c>
      <c r="AA172" s="16"/>
      <c r="AB172" s="16"/>
      <c r="AC172" s="13">
        <f>Q172/X172</f>
        <v>0</v>
      </c>
      <c r="AD172" s="13">
        <f>H172/X172</f>
        <v>0</v>
      </c>
      <c r="AE172" s="13">
        <f>J172/X172</f>
        <v>802.35294117647061</v>
      </c>
      <c r="AF172" s="12">
        <f t="shared" si="92"/>
        <v>492.64705882352945</v>
      </c>
      <c r="AG172" s="12"/>
      <c r="AH172" s="12">
        <f t="shared" si="82"/>
        <v>0</v>
      </c>
      <c r="AI172" s="12">
        <f t="shared" si="83"/>
        <v>0.43997898607827685</v>
      </c>
      <c r="AJ172" s="12">
        <f t="shared" si="84"/>
        <v>0</v>
      </c>
      <c r="AK172" s="12">
        <f t="shared" si="85"/>
        <v>0</v>
      </c>
      <c r="AL172" s="12">
        <f t="shared" si="86"/>
        <v>0.43997898607827685</v>
      </c>
      <c r="AM172" s="13">
        <f>R172/X172</f>
        <v>0</v>
      </c>
      <c r="AN172" s="13">
        <f>P172/X172</f>
        <v>380</v>
      </c>
      <c r="AO172" s="13">
        <f>S172/X172</f>
        <v>0</v>
      </c>
      <c r="AP172" s="13">
        <f>T172/X172</f>
        <v>0</v>
      </c>
      <c r="AQ172" s="12">
        <f>R172+Q172+P172+J172+H172</f>
        <v>4020</v>
      </c>
      <c r="AR172" s="13">
        <f>AO172+AN172+AM172+AE172+AD172+AC172</f>
        <v>1182.3529411764707</v>
      </c>
      <c r="AS172" s="17" t="s">
        <v>46</v>
      </c>
    </row>
    <row r="173" spans="1:45" x14ac:dyDescent="0.25">
      <c r="A173" s="22">
        <v>45700</v>
      </c>
      <c r="B173" s="10" t="str">
        <f t="shared" si="93"/>
        <v>2025</v>
      </c>
      <c r="C173" s="10" t="str">
        <f t="shared" si="94"/>
        <v>February</v>
      </c>
      <c r="D173" s="10"/>
      <c r="E173" s="11">
        <v>502</v>
      </c>
      <c r="F173" s="12">
        <v>6777</v>
      </c>
      <c r="G173" s="13">
        <v>788.02325581395348</v>
      </c>
      <c r="H173" s="14" t="s">
        <v>31</v>
      </c>
      <c r="I173" s="6">
        <v>0</v>
      </c>
      <c r="J173" s="6">
        <v>57</v>
      </c>
      <c r="K173" s="6"/>
      <c r="L173" s="6">
        <v>3340</v>
      </c>
      <c r="M173" s="6">
        <v>1535</v>
      </c>
      <c r="N173" s="6">
        <v>1805</v>
      </c>
      <c r="O173" s="6"/>
      <c r="P173" s="6">
        <v>3268</v>
      </c>
      <c r="Q173" s="6">
        <v>0</v>
      </c>
      <c r="R173" s="6">
        <v>3268</v>
      </c>
      <c r="S173" s="6">
        <v>0</v>
      </c>
      <c r="T173" s="6">
        <v>0</v>
      </c>
      <c r="U173" s="14" t="s">
        <v>40</v>
      </c>
      <c r="V173" s="14" t="s">
        <v>47</v>
      </c>
      <c r="W173" s="6">
        <v>10</v>
      </c>
      <c r="X173" s="6">
        <v>8.6</v>
      </c>
      <c r="Y173" s="15">
        <v>1.0117647058823529</v>
      </c>
      <c r="Z173" s="16">
        <v>0.86</v>
      </c>
      <c r="AA173" s="16"/>
      <c r="AB173" s="16"/>
      <c r="AC173" s="13">
        <v>0</v>
      </c>
      <c r="AD173" s="13">
        <v>0</v>
      </c>
      <c r="AE173" s="13">
        <v>388.37209302325584</v>
      </c>
      <c r="AF173" s="12">
        <f t="shared" si="92"/>
        <v>178.48837209302326</v>
      </c>
      <c r="AG173" s="12">
        <f t="shared" si="81"/>
        <v>209.88372093023256</v>
      </c>
      <c r="AH173" s="12">
        <f t="shared" si="82"/>
        <v>0</v>
      </c>
      <c r="AI173" s="12">
        <f t="shared" si="83"/>
        <v>0.22650140180020659</v>
      </c>
      <c r="AJ173" s="12">
        <f t="shared" si="84"/>
        <v>0.26634203925040578</v>
      </c>
      <c r="AK173" s="12">
        <f t="shared" si="85"/>
        <v>0</v>
      </c>
      <c r="AL173" s="12">
        <f t="shared" si="86"/>
        <v>0.4928434410506124</v>
      </c>
      <c r="AM173" s="13">
        <v>380</v>
      </c>
      <c r="AN173" s="13">
        <v>380</v>
      </c>
      <c r="AO173" s="13">
        <v>0</v>
      </c>
      <c r="AP173" s="13">
        <v>0</v>
      </c>
      <c r="AQ173" s="12">
        <v>9876</v>
      </c>
      <c r="AR173" s="13">
        <v>1148.3720930232557</v>
      </c>
      <c r="AS173" s="17" t="s">
        <v>48</v>
      </c>
    </row>
    <row r="174" spans="1:45" x14ac:dyDescent="0.25">
      <c r="A174" s="22">
        <v>45700</v>
      </c>
      <c r="B174" s="10" t="str">
        <f t="shared" si="93"/>
        <v>2025</v>
      </c>
      <c r="C174" s="10" t="str">
        <f t="shared" si="94"/>
        <v>February</v>
      </c>
      <c r="D174" s="10"/>
      <c r="E174" s="11">
        <v>502</v>
      </c>
      <c r="F174" s="12">
        <f>E174*13.5</f>
        <v>6777</v>
      </c>
      <c r="G174" s="14" t="s">
        <v>31</v>
      </c>
      <c r="H174" s="6">
        <v>0</v>
      </c>
      <c r="I174" s="6">
        <v>57</v>
      </c>
      <c r="J174" s="6">
        <f>L174+M174</f>
        <v>3340</v>
      </c>
      <c r="K174" s="6"/>
      <c r="L174" s="6">
        <v>1535</v>
      </c>
      <c r="M174" s="6">
        <v>1805</v>
      </c>
      <c r="N174" s="6">
        <v>0</v>
      </c>
      <c r="O174" s="6"/>
      <c r="P174" s="6">
        <v>3268</v>
      </c>
      <c r="Q174" s="6">
        <v>0</v>
      </c>
      <c r="R174" s="6">
        <v>3268</v>
      </c>
      <c r="S174" s="6">
        <v>0</v>
      </c>
      <c r="T174" s="6">
        <v>0</v>
      </c>
      <c r="U174" s="14" t="s">
        <v>40</v>
      </c>
      <c r="V174" s="14" t="s">
        <v>47</v>
      </c>
      <c r="W174" s="6">
        <v>10</v>
      </c>
      <c r="X174" s="6">
        <v>8.6</v>
      </c>
      <c r="Y174" s="15">
        <f>SUM(X174)/(W174*X$2)</f>
        <v>0.14333333333333334</v>
      </c>
      <c r="Z174" s="16">
        <f>X174/W174</f>
        <v>0.86</v>
      </c>
      <c r="AA174" s="16"/>
      <c r="AB174" s="16"/>
      <c r="AC174" s="13">
        <f>Q174/X174</f>
        <v>0</v>
      </c>
      <c r="AD174" s="13">
        <f>H174/X174</f>
        <v>0</v>
      </c>
      <c r="AE174" s="13">
        <f>J174/X174</f>
        <v>388.37209302325584</v>
      </c>
      <c r="AF174" s="12">
        <f t="shared" si="92"/>
        <v>209.88372093023256</v>
      </c>
      <c r="AG174" s="12"/>
      <c r="AH174" s="12">
        <f t="shared" si="82"/>
        <v>0</v>
      </c>
      <c r="AI174" s="12">
        <f t="shared" si="83"/>
        <v>0.26634203925040578</v>
      </c>
      <c r="AJ174" s="12">
        <f t="shared" si="84"/>
        <v>0</v>
      </c>
      <c r="AK174" s="12">
        <f t="shared" si="85"/>
        <v>0</v>
      </c>
      <c r="AL174" s="12">
        <f t="shared" si="86"/>
        <v>0.26634203925040578</v>
      </c>
      <c r="AM174" s="13">
        <f>R174/X174</f>
        <v>380</v>
      </c>
      <c r="AN174" s="13">
        <f>P174/X174</f>
        <v>380</v>
      </c>
      <c r="AO174" s="13">
        <f>S174/X174</f>
        <v>0</v>
      </c>
      <c r="AP174" s="13">
        <f>T174/X174</f>
        <v>0</v>
      </c>
      <c r="AQ174" s="12">
        <f>R174+Q174+P174+J174+H174</f>
        <v>9876</v>
      </c>
      <c r="AR174" s="13">
        <f>AO174+AN174+AM174+AE174+AD174+AC174</f>
        <v>1148.3720930232557</v>
      </c>
      <c r="AS174" s="17" t="s">
        <v>48</v>
      </c>
    </row>
    <row r="175" spans="1:45" x14ac:dyDescent="0.25">
      <c r="A175" s="22">
        <v>45701</v>
      </c>
      <c r="B175" s="10" t="str">
        <f t="shared" si="93"/>
        <v>2025</v>
      </c>
      <c r="C175" s="10" t="str">
        <f t="shared" si="94"/>
        <v>February</v>
      </c>
      <c r="D175" s="10"/>
      <c r="E175" s="11"/>
      <c r="F175" s="12"/>
      <c r="G175" s="1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14"/>
      <c r="V175" s="14"/>
      <c r="W175" s="6"/>
      <c r="X175" s="6"/>
      <c r="Y175" s="15"/>
      <c r="Z175" s="16">
        <v>0</v>
      </c>
      <c r="AA175" s="16"/>
      <c r="AB175" s="16"/>
      <c r="AC175" s="13"/>
      <c r="AD175" s="13"/>
      <c r="AE175" s="13"/>
      <c r="AF175" s="12"/>
      <c r="AG175" s="12"/>
      <c r="AH175" s="12"/>
      <c r="AI175" s="12"/>
      <c r="AJ175" s="12"/>
      <c r="AK175" s="12"/>
      <c r="AL175" s="12"/>
      <c r="AM175" s="13"/>
      <c r="AN175" s="13"/>
      <c r="AO175" s="13"/>
      <c r="AP175" s="13"/>
      <c r="AQ175" s="12"/>
      <c r="AR175" s="13"/>
      <c r="AS175" s="17"/>
    </row>
    <row r="176" spans="1:45" x14ac:dyDescent="0.25">
      <c r="A176" s="22">
        <v>45702</v>
      </c>
      <c r="B176" s="10" t="str">
        <f t="shared" si="93"/>
        <v>2025</v>
      </c>
      <c r="C176" s="10" t="str">
        <f t="shared" si="94"/>
        <v>February</v>
      </c>
      <c r="D176" s="10"/>
      <c r="E176" s="11">
        <v>482</v>
      </c>
      <c r="F176" s="12">
        <v>6507</v>
      </c>
      <c r="G176" s="13">
        <v>1001.0769230769231</v>
      </c>
      <c r="H176" s="14" t="s">
        <v>31</v>
      </c>
      <c r="I176" s="6">
        <v>0</v>
      </c>
      <c r="J176" s="6">
        <v>57</v>
      </c>
      <c r="K176" s="6"/>
      <c r="L176" s="6">
        <v>4018</v>
      </c>
      <c r="M176" s="6">
        <v>1844</v>
      </c>
      <c r="N176" s="6">
        <v>2174</v>
      </c>
      <c r="O176" s="6"/>
      <c r="P176" s="6">
        <v>2090</v>
      </c>
      <c r="Q176" s="6">
        <v>0</v>
      </c>
      <c r="R176" s="6">
        <v>300</v>
      </c>
      <c r="S176" s="6">
        <v>0</v>
      </c>
      <c r="T176" s="6">
        <v>0</v>
      </c>
      <c r="U176" s="14" t="s">
        <v>40</v>
      </c>
      <c r="V176" s="14" t="s">
        <v>47</v>
      </c>
      <c r="W176" s="6">
        <v>10</v>
      </c>
      <c r="X176" s="6">
        <v>6.5</v>
      </c>
      <c r="Y176" s="15">
        <v>0.76470588235294112</v>
      </c>
      <c r="Z176" s="16">
        <v>0.65</v>
      </c>
      <c r="AA176" s="16"/>
      <c r="AB176" s="16"/>
      <c r="AC176" s="13">
        <v>0</v>
      </c>
      <c r="AD176" s="13">
        <v>0</v>
      </c>
      <c r="AE176" s="13">
        <v>618.15384615384619</v>
      </c>
      <c r="AF176" s="12">
        <f t="shared" si="92"/>
        <v>283.69230769230768</v>
      </c>
      <c r="AG176" s="12">
        <f t="shared" si="81"/>
        <v>334.46153846153845</v>
      </c>
      <c r="AH176" s="12">
        <f t="shared" si="82"/>
        <v>0</v>
      </c>
      <c r="AI176" s="12">
        <f t="shared" si="83"/>
        <v>0.28338712156139539</v>
      </c>
      <c r="AJ176" s="12">
        <f t="shared" si="84"/>
        <v>0.33410173659136316</v>
      </c>
      <c r="AK176" s="12">
        <f t="shared" si="85"/>
        <v>0</v>
      </c>
      <c r="AL176" s="12">
        <f t="shared" si="86"/>
        <v>0.61748885815275856</v>
      </c>
      <c r="AM176" s="13">
        <v>46.153846153846153</v>
      </c>
      <c r="AN176" s="13">
        <v>321.53846153846155</v>
      </c>
      <c r="AO176" s="13">
        <v>0</v>
      </c>
      <c r="AP176" s="13">
        <v>0</v>
      </c>
      <c r="AQ176" s="12">
        <v>6408</v>
      </c>
      <c r="AR176" s="13">
        <v>985.84615384615381</v>
      </c>
      <c r="AS176" s="17" t="s">
        <v>49</v>
      </c>
    </row>
    <row r="177" spans="1:45" x14ac:dyDescent="0.25">
      <c r="A177" s="22">
        <v>45702</v>
      </c>
      <c r="B177" s="10" t="str">
        <f t="shared" si="93"/>
        <v>2025</v>
      </c>
      <c r="C177" s="10" t="str">
        <f t="shared" si="94"/>
        <v>February</v>
      </c>
      <c r="D177" s="10"/>
      <c r="E177" s="11">
        <v>482</v>
      </c>
      <c r="F177" s="12">
        <f>E177*13.5</f>
        <v>6507</v>
      </c>
      <c r="G177" s="14" t="s">
        <v>31</v>
      </c>
      <c r="H177" s="6">
        <v>0</v>
      </c>
      <c r="I177" s="6">
        <v>57</v>
      </c>
      <c r="J177" s="6">
        <f>L177+M177</f>
        <v>4018</v>
      </c>
      <c r="K177" s="6"/>
      <c r="L177" s="6">
        <v>1844</v>
      </c>
      <c r="M177" s="6">
        <v>2174</v>
      </c>
      <c r="N177" s="6">
        <v>715</v>
      </c>
      <c r="O177" s="6"/>
      <c r="P177" s="6">
        <v>2090</v>
      </c>
      <c r="Q177" s="6">
        <v>0</v>
      </c>
      <c r="R177" s="6">
        <v>300</v>
      </c>
      <c r="S177" s="6">
        <v>0</v>
      </c>
      <c r="T177" s="6">
        <v>0</v>
      </c>
      <c r="U177" s="14" t="s">
        <v>40</v>
      </c>
      <c r="V177" s="14" t="s">
        <v>47</v>
      </c>
      <c r="W177" s="6">
        <v>10</v>
      </c>
      <c r="X177" s="6">
        <v>6.5</v>
      </c>
      <c r="Y177" s="15">
        <f>SUM(X177)/(W177*X$2)</f>
        <v>0.10833333333333334</v>
      </c>
      <c r="Z177" s="16">
        <f>X177/W177</f>
        <v>0.65</v>
      </c>
      <c r="AA177" s="16"/>
      <c r="AB177" s="16"/>
      <c r="AC177" s="13">
        <f>Q177/X177</f>
        <v>0</v>
      </c>
      <c r="AD177" s="13">
        <f>H177/X177</f>
        <v>0</v>
      </c>
      <c r="AE177" s="13">
        <f>J177/X177</f>
        <v>618.15384615384619</v>
      </c>
      <c r="AF177" s="12">
        <f t="shared" si="92"/>
        <v>334.46153846153845</v>
      </c>
      <c r="AG177" s="12">
        <f t="shared" si="81"/>
        <v>110</v>
      </c>
      <c r="AH177" s="12">
        <f t="shared" si="82"/>
        <v>0</v>
      </c>
      <c r="AI177" s="12">
        <f t="shared" si="83"/>
        <v>0.33410173659136316</v>
      </c>
      <c r="AJ177" s="12">
        <f t="shared" si="84"/>
        <v>0.10988166589826341</v>
      </c>
      <c r="AK177" s="12">
        <f t="shared" si="85"/>
        <v>0</v>
      </c>
      <c r="AL177" s="12">
        <f t="shared" si="86"/>
        <v>0.44398340248962659</v>
      </c>
      <c r="AM177" s="13">
        <f>R177/X177</f>
        <v>46.153846153846153</v>
      </c>
      <c r="AN177" s="13">
        <f>P177/X177</f>
        <v>321.53846153846155</v>
      </c>
      <c r="AO177" s="13">
        <f>S177/X177</f>
        <v>0</v>
      </c>
      <c r="AP177" s="13">
        <f>T177/X177</f>
        <v>0</v>
      </c>
      <c r="AQ177" s="12">
        <f>R177+Q177+P177+J177+H177</f>
        <v>6408</v>
      </c>
      <c r="AR177" s="13">
        <f>AO177+AN177+AM177+AE177+AD177+AC177</f>
        <v>985.84615384615381</v>
      </c>
      <c r="AS177" s="17" t="s">
        <v>49</v>
      </c>
    </row>
    <row r="178" spans="1:45" x14ac:dyDescent="0.25">
      <c r="A178" s="22">
        <v>45705</v>
      </c>
      <c r="B178" s="10" t="str">
        <f t="shared" si="93"/>
        <v>2025</v>
      </c>
      <c r="C178" s="10" t="str">
        <f t="shared" si="94"/>
        <v>February</v>
      </c>
      <c r="D178" s="10"/>
      <c r="E178" s="11">
        <v>628</v>
      </c>
      <c r="F178" s="12">
        <v>8478</v>
      </c>
      <c r="G178" s="13">
        <v>1115.5263157894738</v>
      </c>
      <c r="H178" s="14" t="s">
        <v>31</v>
      </c>
      <c r="I178" s="6">
        <v>0</v>
      </c>
      <c r="J178" s="6">
        <v>57</v>
      </c>
      <c r="K178" s="6"/>
      <c r="L178" s="6">
        <v>5136</v>
      </c>
      <c r="M178" s="6">
        <v>2324</v>
      </c>
      <c r="N178" s="6">
        <v>2812</v>
      </c>
      <c r="O178" s="6"/>
      <c r="P178" s="6">
        <v>2888</v>
      </c>
      <c r="Q178" s="6">
        <v>0</v>
      </c>
      <c r="R178" s="6">
        <v>0</v>
      </c>
      <c r="S178" s="6">
        <v>0</v>
      </c>
      <c r="T178" s="6">
        <v>0</v>
      </c>
      <c r="U178" s="14" t="s">
        <v>40</v>
      </c>
      <c r="V178" s="14" t="s">
        <v>47</v>
      </c>
      <c r="W178" s="6">
        <v>10</v>
      </c>
      <c r="X178" s="6">
        <v>7.6</v>
      </c>
      <c r="Y178" s="15">
        <v>0.89411764705882346</v>
      </c>
      <c r="Z178" s="16">
        <v>0.76</v>
      </c>
      <c r="AA178" s="16"/>
      <c r="AB178" s="16"/>
      <c r="AC178" s="13">
        <v>0</v>
      </c>
      <c r="AD178" s="13">
        <v>0</v>
      </c>
      <c r="AE178" s="13">
        <v>675.78947368421052</v>
      </c>
      <c r="AF178" s="12">
        <f t="shared" si="92"/>
        <v>305.78947368421052</v>
      </c>
      <c r="AG178" s="12">
        <f t="shared" si="81"/>
        <v>370</v>
      </c>
      <c r="AH178" s="12">
        <f t="shared" si="82"/>
        <v>0</v>
      </c>
      <c r="AI178" s="12">
        <f t="shared" si="83"/>
        <v>0.27412125501297474</v>
      </c>
      <c r="AJ178" s="12">
        <f t="shared" si="84"/>
        <v>0.3316820004718094</v>
      </c>
      <c r="AK178" s="12">
        <f t="shared" si="85"/>
        <v>0</v>
      </c>
      <c r="AL178" s="12">
        <f t="shared" si="86"/>
        <v>0.60580325548478409</v>
      </c>
      <c r="AM178" s="13">
        <v>0</v>
      </c>
      <c r="AN178" s="13">
        <v>380</v>
      </c>
      <c r="AO178" s="13">
        <v>0</v>
      </c>
      <c r="AP178" s="13">
        <v>0</v>
      </c>
      <c r="AQ178" s="12">
        <v>8024</v>
      </c>
      <c r="AR178" s="13">
        <v>1055.7894736842104</v>
      </c>
      <c r="AS178" s="17" t="s">
        <v>50</v>
      </c>
    </row>
    <row r="179" spans="1:45" x14ac:dyDescent="0.25">
      <c r="A179" s="22">
        <v>45705</v>
      </c>
      <c r="B179" s="10" t="str">
        <f t="shared" si="93"/>
        <v>2025</v>
      </c>
      <c r="C179" s="10" t="str">
        <f t="shared" si="94"/>
        <v>February</v>
      </c>
      <c r="D179" s="10"/>
      <c r="E179" s="11">
        <v>628</v>
      </c>
      <c r="F179" s="12">
        <f>E179*13.5</f>
        <v>8478</v>
      </c>
      <c r="G179" s="14" t="s">
        <v>31</v>
      </c>
      <c r="H179" s="6">
        <v>0</v>
      </c>
      <c r="I179" s="6">
        <v>57</v>
      </c>
      <c r="J179" s="6">
        <f>L179+M179</f>
        <v>5136</v>
      </c>
      <c r="K179" s="6"/>
      <c r="L179" s="6">
        <v>2324</v>
      </c>
      <c r="M179" s="6">
        <v>2812</v>
      </c>
      <c r="N179" s="6">
        <v>0</v>
      </c>
      <c r="O179" s="6"/>
      <c r="P179" s="6">
        <v>2888</v>
      </c>
      <c r="Q179" s="6">
        <v>0</v>
      </c>
      <c r="R179" s="6">
        <v>0</v>
      </c>
      <c r="S179" s="6">
        <v>0</v>
      </c>
      <c r="T179" s="6">
        <v>0</v>
      </c>
      <c r="U179" s="14" t="s">
        <v>40</v>
      </c>
      <c r="V179" s="14" t="s">
        <v>47</v>
      </c>
      <c r="W179" s="6">
        <v>10</v>
      </c>
      <c r="X179" s="6">
        <v>7.6</v>
      </c>
      <c r="Y179" s="15">
        <f>SUM(X179)/(W179*X$2)</f>
        <v>0.12666666666666665</v>
      </c>
      <c r="Z179" s="16">
        <f>X179/W179</f>
        <v>0.76</v>
      </c>
      <c r="AA179" s="16"/>
      <c r="AB179" s="16"/>
      <c r="AC179" s="13">
        <f>Q179/X179</f>
        <v>0</v>
      </c>
      <c r="AD179" s="13">
        <f>H179/X179</f>
        <v>0</v>
      </c>
      <c r="AE179" s="13">
        <f>J179/X179</f>
        <v>675.78947368421052</v>
      </c>
      <c r="AF179" s="12">
        <f t="shared" si="92"/>
        <v>370</v>
      </c>
      <c r="AG179" s="12"/>
      <c r="AH179" s="12">
        <f t="shared" si="82"/>
        <v>0</v>
      </c>
      <c r="AI179" s="12">
        <f t="shared" si="83"/>
        <v>0.3316820004718094</v>
      </c>
      <c r="AJ179" s="12">
        <f t="shared" si="84"/>
        <v>0</v>
      </c>
      <c r="AK179" s="12">
        <f t="shared" si="85"/>
        <v>0</v>
      </c>
      <c r="AL179" s="12">
        <f t="shared" si="86"/>
        <v>0.3316820004718094</v>
      </c>
      <c r="AM179" s="13">
        <f>R179/X179</f>
        <v>0</v>
      </c>
      <c r="AN179" s="13">
        <f>P179/X179</f>
        <v>380</v>
      </c>
      <c r="AO179" s="13">
        <f>S179/X179</f>
        <v>0</v>
      </c>
      <c r="AP179" s="13">
        <f>T179/X179</f>
        <v>0</v>
      </c>
      <c r="AQ179" s="12">
        <f>R179+Q179+P179+J179+H179</f>
        <v>8024</v>
      </c>
      <c r="AR179" s="13">
        <f>AO179+AN179+AM179+AE179+AD179+AC179</f>
        <v>1055.7894736842104</v>
      </c>
      <c r="AS179" s="17" t="s">
        <v>50</v>
      </c>
    </row>
    <row r="180" spans="1:45" x14ac:dyDescent="0.25">
      <c r="A180" s="22">
        <v>45712</v>
      </c>
      <c r="B180" s="10" t="str">
        <f t="shared" si="93"/>
        <v>2025</v>
      </c>
      <c r="C180" s="10" t="str">
        <f t="shared" si="94"/>
        <v>February</v>
      </c>
      <c r="D180" s="10"/>
      <c r="E180" s="11">
        <v>488</v>
      </c>
      <c r="F180" s="12">
        <v>6588</v>
      </c>
      <c r="G180" s="13">
        <v>1029.375</v>
      </c>
      <c r="H180" s="14" t="s">
        <v>31</v>
      </c>
      <c r="I180" s="6">
        <v>0</v>
      </c>
      <c r="J180" s="6">
        <v>57</v>
      </c>
      <c r="K180" s="6"/>
      <c r="L180" s="6">
        <v>4321</v>
      </c>
      <c r="M180" s="6">
        <v>1888</v>
      </c>
      <c r="N180" s="6">
        <v>2433</v>
      </c>
      <c r="O180" s="6"/>
      <c r="P180" s="6">
        <v>2430</v>
      </c>
      <c r="Q180" s="6">
        <v>0</v>
      </c>
      <c r="R180" s="6">
        <v>0</v>
      </c>
      <c r="S180" s="6">
        <v>0</v>
      </c>
      <c r="T180" s="6">
        <v>0</v>
      </c>
      <c r="U180" s="14" t="s">
        <v>40</v>
      </c>
      <c r="V180" s="14" t="s">
        <v>47</v>
      </c>
      <c r="W180" s="6">
        <v>10</v>
      </c>
      <c r="X180" s="6">
        <v>6.4</v>
      </c>
      <c r="Y180" s="15">
        <v>0.75294117647058822</v>
      </c>
      <c r="Z180" s="16">
        <v>0.64</v>
      </c>
      <c r="AA180" s="16"/>
      <c r="AB180" s="16"/>
      <c r="AC180" s="13">
        <v>0</v>
      </c>
      <c r="AD180" s="13">
        <v>0</v>
      </c>
      <c r="AE180" s="13">
        <v>675.15625</v>
      </c>
      <c r="AF180" s="12">
        <f t="shared" si="92"/>
        <v>295</v>
      </c>
      <c r="AG180" s="12">
        <f t="shared" si="81"/>
        <v>380.15625</v>
      </c>
      <c r="AH180" s="12">
        <f t="shared" si="82"/>
        <v>0</v>
      </c>
      <c r="AI180" s="12">
        <f t="shared" si="83"/>
        <v>0.28658166363084397</v>
      </c>
      <c r="AJ180" s="12">
        <f t="shared" si="84"/>
        <v>0.36930783242258652</v>
      </c>
      <c r="AK180" s="12">
        <f t="shared" si="85"/>
        <v>0</v>
      </c>
      <c r="AL180" s="12">
        <f t="shared" si="86"/>
        <v>0.6558894960534305</v>
      </c>
      <c r="AM180" s="13">
        <v>0</v>
      </c>
      <c r="AN180" s="13">
        <v>379.6875</v>
      </c>
      <c r="AO180" s="13">
        <v>0</v>
      </c>
      <c r="AP180" s="13">
        <v>0</v>
      </c>
      <c r="AQ180" s="12">
        <v>6751</v>
      </c>
      <c r="AR180" s="13">
        <v>1054.84375</v>
      </c>
      <c r="AS180" s="17" t="s">
        <v>51</v>
      </c>
    </row>
    <row r="181" spans="1:45" x14ac:dyDescent="0.25">
      <c r="A181" s="22">
        <v>45712</v>
      </c>
      <c r="B181" s="10" t="str">
        <f t="shared" si="93"/>
        <v>2025</v>
      </c>
      <c r="C181" s="10" t="str">
        <f t="shared" si="94"/>
        <v>February</v>
      </c>
      <c r="D181" s="10"/>
      <c r="E181" s="11">
        <v>488</v>
      </c>
      <c r="F181" s="12">
        <f>E181*13.5</f>
        <v>6588</v>
      </c>
      <c r="G181" s="14" t="s">
        <v>31</v>
      </c>
      <c r="H181" s="6">
        <v>0</v>
      </c>
      <c r="I181" s="6">
        <v>57</v>
      </c>
      <c r="J181" s="6">
        <f>L181+M181</f>
        <v>4321</v>
      </c>
      <c r="K181" s="6"/>
      <c r="L181" s="6">
        <v>1888</v>
      </c>
      <c r="M181" s="6">
        <v>2433</v>
      </c>
      <c r="N181" s="6">
        <v>0</v>
      </c>
      <c r="O181" s="6"/>
      <c r="P181" s="6">
        <v>2430</v>
      </c>
      <c r="Q181" s="6">
        <v>0</v>
      </c>
      <c r="R181" s="6">
        <v>0</v>
      </c>
      <c r="S181" s="6">
        <v>0</v>
      </c>
      <c r="T181" s="6">
        <v>0</v>
      </c>
      <c r="U181" s="14" t="s">
        <v>40</v>
      </c>
      <c r="V181" s="14" t="s">
        <v>47</v>
      </c>
      <c r="W181" s="6">
        <v>10</v>
      </c>
      <c r="X181" s="6">
        <v>6.4</v>
      </c>
      <c r="Y181" s="15">
        <f>SUM(X181)/(W181*X$2)</f>
        <v>0.10666666666666667</v>
      </c>
      <c r="Z181" s="16">
        <f>X181/W181</f>
        <v>0.64</v>
      </c>
      <c r="AA181" s="16"/>
      <c r="AB181" s="16"/>
      <c r="AC181" s="13">
        <f>Q181/X181</f>
        <v>0</v>
      </c>
      <c r="AD181" s="13">
        <f>H181/X181</f>
        <v>0</v>
      </c>
      <c r="AE181" s="13">
        <f>J181/X181</f>
        <v>675.15625</v>
      </c>
      <c r="AF181" s="12">
        <f t="shared" si="92"/>
        <v>380.15625</v>
      </c>
      <c r="AG181" s="12"/>
      <c r="AH181" s="12">
        <f t="shared" si="82"/>
        <v>0</v>
      </c>
      <c r="AI181" s="12">
        <f t="shared" si="83"/>
        <v>0.36930783242258652</v>
      </c>
      <c r="AJ181" s="12">
        <f t="shared" si="84"/>
        <v>0</v>
      </c>
      <c r="AK181" s="12">
        <f t="shared" si="85"/>
        <v>0</v>
      </c>
      <c r="AL181" s="12">
        <f t="shared" si="86"/>
        <v>0.36930783242258652</v>
      </c>
      <c r="AM181" s="13">
        <f>R181/X181</f>
        <v>0</v>
      </c>
      <c r="AN181" s="13">
        <f>P181/X181</f>
        <v>379.6875</v>
      </c>
      <c r="AO181" s="13">
        <f>S181/X181</f>
        <v>0</v>
      </c>
      <c r="AP181" s="13">
        <f>T181/X181</f>
        <v>0</v>
      </c>
      <c r="AQ181" s="12">
        <f>R181+Q181+P181+J181+H181</f>
        <v>6751</v>
      </c>
      <c r="AR181" s="13">
        <f>AO181+AN181+AM181+AE181+AD181+AC181</f>
        <v>1054.84375</v>
      </c>
      <c r="AS181" s="17" t="s">
        <v>51</v>
      </c>
    </row>
    <row r="182" spans="1:45" x14ac:dyDescent="0.25">
      <c r="A182" s="22">
        <v>45713</v>
      </c>
      <c r="B182" s="10" t="str">
        <f t="shared" si="93"/>
        <v>2025</v>
      </c>
      <c r="C182" s="10" t="str">
        <f t="shared" si="94"/>
        <v>February</v>
      </c>
      <c r="D182" s="10"/>
      <c r="E182" s="11">
        <v>554</v>
      </c>
      <c r="F182" s="12">
        <v>7479</v>
      </c>
      <c r="G182" s="13">
        <v>1150.6153846153845</v>
      </c>
      <c r="H182" s="14" t="s">
        <v>31</v>
      </c>
      <c r="I182" s="6">
        <v>0</v>
      </c>
      <c r="J182" s="6">
        <v>57</v>
      </c>
      <c r="K182" s="6"/>
      <c r="L182" s="6">
        <v>4520</v>
      </c>
      <c r="M182" s="6">
        <v>2109</v>
      </c>
      <c r="N182" s="6">
        <v>2411</v>
      </c>
      <c r="O182" s="6"/>
      <c r="P182" s="6">
        <v>2470</v>
      </c>
      <c r="Q182" s="6">
        <v>0</v>
      </c>
      <c r="R182" s="6">
        <v>0</v>
      </c>
      <c r="S182" s="6">
        <v>0</v>
      </c>
      <c r="T182" s="6">
        <v>0</v>
      </c>
      <c r="U182" s="14" t="s">
        <v>40</v>
      </c>
      <c r="V182" s="14" t="s">
        <v>47</v>
      </c>
      <c r="W182" s="6">
        <v>10</v>
      </c>
      <c r="X182" s="6">
        <v>6.5</v>
      </c>
      <c r="Y182" s="15">
        <v>0.76470588235294112</v>
      </c>
      <c r="Z182" s="16">
        <v>0.65</v>
      </c>
      <c r="AA182" s="16"/>
      <c r="AB182" s="16"/>
      <c r="AC182" s="13">
        <v>0</v>
      </c>
      <c r="AD182" s="13">
        <v>0</v>
      </c>
      <c r="AE182" s="13">
        <v>695.38461538461536</v>
      </c>
      <c r="AF182" s="12">
        <f t="shared" si="92"/>
        <v>324.46153846153845</v>
      </c>
      <c r="AG182" s="12">
        <f t="shared" si="81"/>
        <v>370.92307692307691</v>
      </c>
      <c r="AH182" s="12">
        <f t="shared" si="82"/>
        <v>0</v>
      </c>
      <c r="AI182" s="12">
        <f t="shared" si="83"/>
        <v>0.28198957079823506</v>
      </c>
      <c r="AJ182" s="12">
        <f t="shared" si="84"/>
        <v>0.32236930070865089</v>
      </c>
      <c r="AK182" s="12">
        <f t="shared" si="85"/>
        <v>0</v>
      </c>
      <c r="AL182" s="12">
        <f t="shared" si="86"/>
        <v>0.60435887150688594</v>
      </c>
      <c r="AM182" s="13">
        <v>0</v>
      </c>
      <c r="AN182" s="13">
        <v>380</v>
      </c>
      <c r="AO182" s="13">
        <v>0</v>
      </c>
      <c r="AP182" s="13">
        <v>0</v>
      </c>
      <c r="AQ182" s="12">
        <v>6990</v>
      </c>
      <c r="AR182" s="13">
        <v>1075.3846153846152</v>
      </c>
      <c r="AS182" s="17" t="s">
        <v>51</v>
      </c>
    </row>
    <row r="183" spans="1:45" x14ac:dyDescent="0.25">
      <c r="A183" s="22">
        <v>45713</v>
      </c>
      <c r="B183" s="10" t="str">
        <f t="shared" si="93"/>
        <v>2025</v>
      </c>
      <c r="C183" s="10" t="str">
        <f t="shared" si="94"/>
        <v>February</v>
      </c>
      <c r="D183" s="10"/>
      <c r="E183" s="11">
        <v>554</v>
      </c>
      <c r="F183" s="12">
        <f>E183*13.5</f>
        <v>7479</v>
      </c>
      <c r="G183" s="14" t="s">
        <v>31</v>
      </c>
      <c r="H183" s="6">
        <v>0</v>
      </c>
      <c r="I183" s="6">
        <v>57</v>
      </c>
      <c r="J183" s="6">
        <f>L183+M183</f>
        <v>4520</v>
      </c>
      <c r="K183" s="6"/>
      <c r="L183" s="6">
        <v>2109</v>
      </c>
      <c r="M183" s="6">
        <v>2411</v>
      </c>
      <c r="N183" s="6">
        <v>0</v>
      </c>
      <c r="O183" s="6"/>
      <c r="P183" s="6">
        <v>2470</v>
      </c>
      <c r="Q183" s="6">
        <v>0</v>
      </c>
      <c r="R183" s="6">
        <v>0</v>
      </c>
      <c r="S183" s="6">
        <v>0</v>
      </c>
      <c r="T183" s="6">
        <v>0</v>
      </c>
      <c r="U183" s="14" t="s">
        <v>40</v>
      </c>
      <c r="V183" s="14" t="s">
        <v>47</v>
      </c>
      <c r="W183" s="6">
        <v>10</v>
      </c>
      <c r="X183" s="6">
        <v>6.5</v>
      </c>
      <c r="Y183" s="15">
        <f>SUM(X183)/(W183*X$2)</f>
        <v>0.10833333333333334</v>
      </c>
      <c r="Z183" s="16">
        <f>X183/W183</f>
        <v>0.65</v>
      </c>
      <c r="AA183" s="16"/>
      <c r="AB183" s="16"/>
      <c r="AC183" s="13">
        <f>Q183/X183</f>
        <v>0</v>
      </c>
      <c r="AD183" s="13">
        <f>H183/X183</f>
        <v>0</v>
      </c>
      <c r="AE183" s="13">
        <f>J183/X183</f>
        <v>695.38461538461536</v>
      </c>
      <c r="AF183" s="12">
        <f t="shared" si="92"/>
        <v>370.92307692307691</v>
      </c>
      <c r="AG183" s="12"/>
      <c r="AH183" s="12">
        <f t="shared" si="82"/>
        <v>0</v>
      </c>
      <c r="AI183" s="12">
        <f t="shared" si="83"/>
        <v>0.32236930070865089</v>
      </c>
      <c r="AJ183" s="12">
        <f t="shared" si="84"/>
        <v>0</v>
      </c>
      <c r="AK183" s="12">
        <f t="shared" si="85"/>
        <v>0</v>
      </c>
      <c r="AL183" s="12">
        <f t="shared" si="86"/>
        <v>0.32236930070865089</v>
      </c>
      <c r="AM183" s="13">
        <f>R183/X183</f>
        <v>0</v>
      </c>
      <c r="AN183" s="13">
        <f>P183/X183</f>
        <v>380</v>
      </c>
      <c r="AO183" s="13">
        <f>S183/X183</f>
        <v>0</v>
      </c>
      <c r="AP183" s="13">
        <f>T183/X183</f>
        <v>0</v>
      </c>
      <c r="AQ183" s="12">
        <f>R183+Q183+P183+J183+H183</f>
        <v>6990</v>
      </c>
      <c r="AR183" s="13">
        <f>AO183+AN183+AM183+AE183+AD183+AC183</f>
        <v>1075.3846153846152</v>
      </c>
      <c r="AS183" s="17" t="s">
        <v>51</v>
      </c>
    </row>
    <row r="184" spans="1:45" x14ac:dyDescent="0.25">
      <c r="A184" s="22">
        <v>45719</v>
      </c>
      <c r="B184" s="10" t="str">
        <f t="shared" si="93"/>
        <v>2025</v>
      </c>
      <c r="C184" s="10" t="str">
        <f t="shared" si="94"/>
        <v>March</v>
      </c>
      <c r="D184" s="10"/>
      <c r="E184" s="11">
        <v>462</v>
      </c>
      <c r="F184" s="12">
        <v>6237</v>
      </c>
      <c r="G184" s="13">
        <v>891</v>
      </c>
      <c r="H184" s="14" t="s">
        <v>31</v>
      </c>
      <c r="I184" s="6">
        <v>0</v>
      </c>
      <c r="J184" s="6">
        <v>57</v>
      </c>
      <c r="K184" s="6"/>
      <c r="L184" s="6">
        <v>4314</v>
      </c>
      <c r="M184" s="6">
        <v>1965</v>
      </c>
      <c r="N184" s="6">
        <v>2349</v>
      </c>
      <c r="O184" s="6"/>
      <c r="P184" s="6">
        <v>2660</v>
      </c>
      <c r="Q184" s="6">
        <v>0</v>
      </c>
      <c r="R184" s="6">
        <v>0</v>
      </c>
      <c r="S184" s="6">
        <v>0</v>
      </c>
      <c r="T184" s="6">
        <v>0</v>
      </c>
      <c r="U184" s="14" t="s">
        <v>32</v>
      </c>
      <c r="V184" s="14" t="s">
        <v>52</v>
      </c>
      <c r="W184" s="6">
        <v>10</v>
      </c>
      <c r="X184" s="6">
        <v>7</v>
      </c>
      <c r="Y184" s="15">
        <v>0.82352941176470584</v>
      </c>
      <c r="Z184" s="16">
        <v>0.7</v>
      </c>
      <c r="AA184" s="16"/>
      <c r="AB184" s="16"/>
      <c r="AC184" s="13">
        <v>0</v>
      </c>
      <c r="AD184" s="13">
        <v>0</v>
      </c>
      <c r="AE184" s="13">
        <v>616.28571428571433</v>
      </c>
      <c r="AF184" s="12">
        <f t="shared" si="92"/>
        <v>280.71428571428572</v>
      </c>
      <c r="AG184" s="12">
        <f t="shared" si="81"/>
        <v>335.57142857142856</v>
      </c>
      <c r="AH184" s="12">
        <f t="shared" si="82"/>
        <v>0</v>
      </c>
      <c r="AI184" s="12">
        <f t="shared" si="83"/>
        <v>0.31505531505531503</v>
      </c>
      <c r="AJ184" s="12">
        <f t="shared" si="84"/>
        <v>0.37662337662337664</v>
      </c>
      <c r="AK184" s="12">
        <f t="shared" si="85"/>
        <v>0</v>
      </c>
      <c r="AL184" s="12">
        <f t="shared" si="86"/>
        <v>0.69167869167869167</v>
      </c>
      <c r="AM184" s="13">
        <v>0</v>
      </c>
      <c r="AN184" s="13">
        <v>380</v>
      </c>
      <c r="AO184" s="13">
        <v>0</v>
      </c>
      <c r="AP184" s="13">
        <v>0</v>
      </c>
      <c r="AQ184" s="12">
        <v>6974</v>
      </c>
      <c r="AR184" s="13">
        <v>996.28571428571433</v>
      </c>
      <c r="AS184" s="17" t="s">
        <v>53</v>
      </c>
    </row>
    <row r="185" spans="1:45" x14ac:dyDescent="0.25">
      <c r="A185" s="22">
        <v>45719</v>
      </c>
      <c r="B185" s="10" t="str">
        <f t="shared" si="93"/>
        <v>2025</v>
      </c>
      <c r="C185" s="10" t="str">
        <f t="shared" si="94"/>
        <v>March</v>
      </c>
      <c r="D185" s="10"/>
      <c r="E185" s="11">
        <v>462</v>
      </c>
      <c r="F185" s="12">
        <f>E185*13.5</f>
        <v>6237</v>
      </c>
      <c r="G185" s="14" t="s">
        <v>31</v>
      </c>
      <c r="H185" s="6">
        <v>0</v>
      </c>
      <c r="I185" s="6">
        <v>57</v>
      </c>
      <c r="J185" s="6">
        <f>L185+M185</f>
        <v>4314</v>
      </c>
      <c r="K185" s="6"/>
      <c r="L185" s="6">
        <v>1965</v>
      </c>
      <c r="M185" s="6">
        <v>2349</v>
      </c>
      <c r="N185" s="6">
        <v>0</v>
      </c>
      <c r="O185" s="6"/>
      <c r="P185" s="6">
        <v>2660</v>
      </c>
      <c r="Q185" s="6">
        <v>0</v>
      </c>
      <c r="R185" s="6">
        <v>0</v>
      </c>
      <c r="S185" s="6">
        <v>0</v>
      </c>
      <c r="T185" s="6">
        <v>0</v>
      </c>
      <c r="U185" s="14" t="s">
        <v>32</v>
      </c>
      <c r="V185" s="14" t="s">
        <v>52</v>
      </c>
      <c r="W185" s="6">
        <v>10</v>
      </c>
      <c r="X185" s="6">
        <v>7</v>
      </c>
      <c r="Y185" s="15">
        <f>SUM(X185)/(W185*X$2)</f>
        <v>0.11666666666666667</v>
      </c>
      <c r="Z185" s="16">
        <f>X185/W185</f>
        <v>0.7</v>
      </c>
      <c r="AA185" s="16"/>
      <c r="AB185" s="16"/>
      <c r="AC185" s="13">
        <f>Q185/X185</f>
        <v>0</v>
      </c>
      <c r="AD185" s="13">
        <f>H185/X185</f>
        <v>0</v>
      </c>
      <c r="AE185" s="13">
        <f>J185/X185</f>
        <v>616.28571428571433</v>
      </c>
      <c r="AF185" s="12">
        <f t="shared" si="92"/>
        <v>335.57142857142856</v>
      </c>
      <c r="AG185" s="12"/>
      <c r="AH185" s="12">
        <f t="shared" si="82"/>
        <v>0</v>
      </c>
      <c r="AI185" s="12">
        <f t="shared" si="83"/>
        <v>0.37662337662337664</v>
      </c>
      <c r="AJ185" s="12">
        <f t="shared" si="84"/>
        <v>0</v>
      </c>
      <c r="AK185" s="12">
        <f t="shared" si="85"/>
        <v>0</v>
      </c>
      <c r="AL185" s="12">
        <f t="shared" si="86"/>
        <v>0.37662337662337664</v>
      </c>
      <c r="AM185" s="13">
        <f>R185/X185</f>
        <v>0</v>
      </c>
      <c r="AN185" s="13">
        <f>P185/X185</f>
        <v>380</v>
      </c>
      <c r="AO185" s="13">
        <f>S185/X185</f>
        <v>0</v>
      </c>
      <c r="AP185" s="13">
        <f>T185/X185</f>
        <v>0</v>
      </c>
      <c r="AQ185" s="12">
        <f>R185+Q185+P185+J185+H185</f>
        <v>6974</v>
      </c>
      <c r="AR185" s="13">
        <f>AO185+AN185+AM185+AE185+AD185+AC185</f>
        <v>996.28571428571433</v>
      </c>
      <c r="AS185" s="17" t="s">
        <v>53</v>
      </c>
    </row>
    <row r="186" spans="1:45" x14ac:dyDescent="0.25">
      <c r="A186" s="22">
        <v>45722</v>
      </c>
      <c r="B186" s="10" t="str">
        <f t="shared" si="93"/>
        <v>2025</v>
      </c>
      <c r="C186" s="10" t="str">
        <f t="shared" si="94"/>
        <v>March</v>
      </c>
      <c r="D186" s="10"/>
      <c r="E186" s="11">
        <v>475</v>
      </c>
      <c r="F186" s="12">
        <v>6412.5</v>
      </c>
      <c r="G186" s="13">
        <v>957.08955223880594</v>
      </c>
      <c r="H186" s="14" t="s">
        <v>31</v>
      </c>
      <c r="I186" s="6">
        <v>0</v>
      </c>
      <c r="J186" s="6">
        <v>57</v>
      </c>
      <c r="K186" s="6"/>
      <c r="L186" s="6">
        <v>4056</v>
      </c>
      <c r="M186" s="6">
        <v>1950</v>
      </c>
      <c r="N186" s="6">
        <v>2106</v>
      </c>
      <c r="O186" s="6"/>
      <c r="P186" s="6">
        <v>2560</v>
      </c>
      <c r="Q186" s="6">
        <v>0</v>
      </c>
      <c r="R186" s="6">
        <v>0</v>
      </c>
      <c r="S186" s="6">
        <v>0</v>
      </c>
      <c r="T186" s="6">
        <v>0</v>
      </c>
      <c r="U186" s="14" t="s">
        <v>32</v>
      </c>
      <c r="V186" s="14" t="s">
        <v>47</v>
      </c>
      <c r="W186" s="6">
        <v>10</v>
      </c>
      <c r="X186" s="6">
        <v>6.7</v>
      </c>
      <c r="Y186" s="15">
        <v>0.78823529411764703</v>
      </c>
      <c r="Z186" s="16">
        <v>0.67</v>
      </c>
      <c r="AA186" s="16"/>
      <c r="AB186" s="16"/>
      <c r="AC186" s="13">
        <v>0</v>
      </c>
      <c r="AD186" s="13">
        <v>0</v>
      </c>
      <c r="AE186" s="13">
        <v>605.37313432835822</v>
      </c>
      <c r="AF186" s="12">
        <f t="shared" si="92"/>
        <v>291.04477611940297</v>
      </c>
      <c r="AG186" s="12">
        <f t="shared" si="81"/>
        <v>314.32835820895519</v>
      </c>
      <c r="AH186" s="12">
        <f t="shared" si="82"/>
        <v>0</v>
      </c>
      <c r="AI186" s="12">
        <f t="shared" si="83"/>
        <v>0.30409356725146197</v>
      </c>
      <c r="AJ186" s="12">
        <f t="shared" si="84"/>
        <v>0.32842105263157895</v>
      </c>
      <c r="AK186" s="12">
        <f t="shared" si="85"/>
        <v>0</v>
      </c>
      <c r="AL186" s="12">
        <f t="shared" si="86"/>
        <v>0.63251461988304092</v>
      </c>
      <c r="AM186" s="13">
        <v>0</v>
      </c>
      <c r="AN186" s="13">
        <v>382.08955223880594</v>
      </c>
      <c r="AO186" s="13">
        <v>0</v>
      </c>
      <c r="AP186" s="13">
        <v>0</v>
      </c>
      <c r="AQ186" s="12">
        <v>6616</v>
      </c>
      <c r="AR186" s="13">
        <v>987.46268656716416</v>
      </c>
      <c r="AS186" s="17" t="s">
        <v>54</v>
      </c>
    </row>
    <row r="187" spans="1:45" x14ac:dyDescent="0.25">
      <c r="A187" s="22">
        <v>45722</v>
      </c>
      <c r="B187" s="10" t="str">
        <f t="shared" si="93"/>
        <v>2025</v>
      </c>
      <c r="C187" s="10" t="str">
        <f t="shared" si="94"/>
        <v>March</v>
      </c>
      <c r="D187" s="10"/>
      <c r="E187" s="11">
        <v>475</v>
      </c>
      <c r="F187" s="12">
        <f>E187*13.5</f>
        <v>6412.5</v>
      </c>
      <c r="G187" s="14" t="s">
        <v>31</v>
      </c>
      <c r="H187" s="6">
        <v>0</v>
      </c>
      <c r="I187" s="6">
        <v>57</v>
      </c>
      <c r="J187" s="6">
        <f>L187+M187</f>
        <v>4056</v>
      </c>
      <c r="K187" s="6"/>
      <c r="L187" s="6">
        <v>1950</v>
      </c>
      <c r="M187" s="6">
        <v>2106</v>
      </c>
      <c r="N187" s="6">
        <v>0</v>
      </c>
      <c r="O187" s="6"/>
      <c r="P187" s="6">
        <v>2560</v>
      </c>
      <c r="Q187" s="6">
        <v>0</v>
      </c>
      <c r="R187" s="6">
        <v>0</v>
      </c>
      <c r="S187" s="6">
        <v>0</v>
      </c>
      <c r="T187" s="6">
        <v>0</v>
      </c>
      <c r="U187" s="14" t="s">
        <v>32</v>
      </c>
      <c r="V187" s="14" t="s">
        <v>47</v>
      </c>
      <c r="W187" s="6">
        <v>10</v>
      </c>
      <c r="X187" s="6">
        <v>6.7</v>
      </c>
      <c r="Y187" s="15">
        <f>SUM(X187)/(W187*X$2)</f>
        <v>0.11166666666666666</v>
      </c>
      <c r="Z187" s="16">
        <f>X187/W187</f>
        <v>0.67</v>
      </c>
      <c r="AA187" s="16"/>
      <c r="AB187" s="16"/>
      <c r="AC187" s="13">
        <f>Q187/X187</f>
        <v>0</v>
      </c>
      <c r="AD187" s="13">
        <f>H187/X187</f>
        <v>0</v>
      </c>
      <c r="AE187" s="13">
        <f>J187/X187</f>
        <v>605.37313432835822</v>
      </c>
      <c r="AF187" s="12">
        <f t="shared" si="92"/>
        <v>314.32835820895519</v>
      </c>
      <c r="AG187" s="12"/>
      <c r="AH187" s="12">
        <f t="shared" si="82"/>
        <v>0</v>
      </c>
      <c r="AI187" s="12">
        <f t="shared" si="83"/>
        <v>0.32842105263157895</v>
      </c>
      <c r="AJ187" s="12">
        <f t="shared" si="84"/>
        <v>0</v>
      </c>
      <c r="AK187" s="12">
        <f t="shared" si="85"/>
        <v>0</v>
      </c>
      <c r="AL187" s="12">
        <f t="shared" si="86"/>
        <v>0.32842105263157895</v>
      </c>
      <c r="AM187" s="13">
        <f>R187/X187</f>
        <v>0</v>
      </c>
      <c r="AN187" s="13">
        <f>P187/X187</f>
        <v>382.08955223880594</v>
      </c>
      <c r="AO187" s="13">
        <f>S187/X187</f>
        <v>0</v>
      </c>
      <c r="AP187" s="13">
        <f>T187/X187</f>
        <v>0</v>
      </c>
      <c r="AQ187" s="12">
        <f>R187+Q187+P187+J187+H187</f>
        <v>6616</v>
      </c>
      <c r="AR187" s="13">
        <f>AO187+AN187+AM187+AE187+AD187+AC187</f>
        <v>987.46268656716416</v>
      </c>
      <c r="AS187" s="17" t="s">
        <v>54</v>
      </c>
    </row>
    <row r="188" spans="1:45" x14ac:dyDescent="0.25">
      <c r="A188" s="22">
        <v>45728</v>
      </c>
      <c r="B188" s="10" t="str">
        <f t="shared" si="93"/>
        <v>2025</v>
      </c>
      <c r="C188" s="10" t="str">
        <f t="shared" si="94"/>
        <v>March</v>
      </c>
      <c r="D188" s="10"/>
      <c r="E188" s="11">
        <v>607</v>
      </c>
      <c r="F188" s="12">
        <v>8194.5</v>
      </c>
      <c r="G188" s="13">
        <v>931.19318181818176</v>
      </c>
      <c r="H188" s="14" t="s">
        <v>31</v>
      </c>
      <c r="I188" s="6">
        <v>0</v>
      </c>
      <c r="J188" s="6">
        <v>57</v>
      </c>
      <c r="K188" s="6"/>
      <c r="L188" s="6">
        <v>5252</v>
      </c>
      <c r="M188" s="6">
        <v>2482</v>
      </c>
      <c r="N188" s="6">
        <v>2770</v>
      </c>
      <c r="O188" s="6"/>
      <c r="P188" s="6">
        <v>3344</v>
      </c>
      <c r="Q188" s="6">
        <v>0</v>
      </c>
      <c r="R188" s="6">
        <v>750</v>
      </c>
      <c r="S188" s="6">
        <v>0</v>
      </c>
      <c r="T188" s="6">
        <v>0</v>
      </c>
      <c r="U188" s="14" t="s">
        <v>32</v>
      </c>
      <c r="V188" s="14" t="s">
        <v>47</v>
      </c>
      <c r="W188" s="6">
        <v>10</v>
      </c>
      <c r="X188" s="6">
        <v>8.8000000000000007</v>
      </c>
      <c r="Y188" s="15">
        <v>1.0352941176470589</v>
      </c>
      <c r="Z188" s="16">
        <v>0.88000000000000012</v>
      </c>
      <c r="AA188" s="16"/>
      <c r="AB188" s="16"/>
      <c r="AC188" s="13">
        <v>0</v>
      </c>
      <c r="AD188" s="13">
        <v>0</v>
      </c>
      <c r="AE188" s="13">
        <v>596.81818181818176</v>
      </c>
      <c r="AF188" s="12">
        <f t="shared" si="92"/>
        <v>282.0454545454545</v>
      </c>
      <c r="AG188" s="12">
        <f t="shared" si="81"/>
        <v>314.77272727272725</v>
      </c>
      <c r="AH188" s="12">
        <f t="shared" si="82"/>
        <v>0</v>
      </c>
      <c r="AI188" s="12">
        <f t="shared" si="83"/>
        <v>0.30288608212825674</v>
      </c>
      <c r="AJ188" s="12">
        <f t="shared" si="84"/>
        <v>0.33803160656537923</v>
      </c>
      <c r="AK188" s="12">
        <f t="shared" si="85"/>
        <v>0</v>
      </c>
      <c r="AL188" s="12">
        <f t="shared" si="86"/>
        <v>0.64091768869363597</v>
      </c>
      <c r="AM188" s="13">
        <v>85.22727272727272</v>
      </c>
      <c r="AN188" s="13">
        <v>379.99999999999994</v>
      </c>
      <c r="AO188" s="13">
        <v>0</v>
      </c>
      <c r="AP188" s="13">
        <v>0</v>
      </c>
      <c r="AQ188" s="12">
        <v>9346</v>
      </c>
      <c r="AR188" s="13">
        <v>1062.0454545454545</v>
      </c>
      <c r="AS188" s="17"/>
    </row>
    <row r="189" spans="1:45" x14ac:dyDescent="0.25">
      <c r="A189" s="22">
        <v>45728</v>
      </c>
      <c r="B189" s="10" t="str">
        <f t="shared" si="93"/>
        <v>2025</v>
      </c>
      <c r="C189" s="10" t="str">
        <f t="shared" si="94"/>
        <v>March</v>
      </c>
      <c r="D189" s="10"/>
      <c r="E189" s="11">
        <v>607</v>
      </c>
      <c r="F189" s="12">
        <f>E189*13.5</f>
        <v>8194.5</v>
      </c>
      <c r="G189" s="14" t="s">
        <v>31</v>
      </c>
      <c r="H189" s="6">
        <v>0</v>
      </c>
      <c r="I189" s="6">
        <v>57</v>
      </c>
      <c r="J189" s="6">
        <f>L189+M189</f>
        <v>5252</v>
      </c>
      <c r="K189" s="6"/>
      <c r="L189" s="6">
        <v>2482</v>
      </c>
      <c r="M189" s="6">
        <v>2770</v>
      </c>
      <c r="N189" s="6">
        <v>0</v>
      </c>
      <c r="O189" s="6"/>
      <c r="P189" s="6">
        <v>3344</v>
      </c>
      <c r="Q189" s="6">
        <v>0</v>
      </c>
      <c r="R189" s="6">
        <v>750</v>
      </c>
      <c r="S189" s="6">
        <v>0</v>
      </c>
      <c r="T189" s="6">
        <v>0</v>
      </c>
      <c r="U189" s="14" t="s">
        <v>32</v>
      </c>
      <c r="V189" s="14" t="s">
        <v>47</v>
      </c>
      <c r="W189" s="6">
        <v>10</v>
      </c>
      <c r="X189" s="6">
        <v>8.8000000000000007</v>
      </c>
      <c r="Y189" s="15">
        <f>SUM(X189)/(W189*X$2)</f>
        <v>0.14666666666666667</v>
      </c>
      <c r="Z189" s="16">
        <f>X189/W189</f>
        <v>0.88000000000000012</v>
      </c>
      <c r="AA189" s="16"/>
      <c r="AB189" s="16"/>
      <c r="AC189" s="13">
        <f>Q189/X189</f>
        <v>0</v>
      </c>
      <c r="AD189" s="13">
        <f>H189/X189</f>
        <v>0</v>
      </c>
      <c r="AE189" s="13">
        <f>J189/X189</f>
        <v>596.81818181818176</v>
      </c>
      <c r="AF189" s="12">
        <f t="shared" si="92"/>
        <v>314.77272727272725</v>
      </c>
      <c r="AG189" s="12"/>
      <c r="AH189" s="12">
        <f t="shared" si="82"/>
        <v>0</v>
      </c>
      <c r="AI189" s="12">
        <f t="shared" si="83"/>
        <v>0.33803160656537923</v>
      </c>
      <c r="AJ189" s="12">
        <f t="shared" si="84"/>
        <v>0</v>
      </c>
      <c r="AK189" s="12">
        <f t="shared" si="85"/>
        <v>0</v>
      </c>
      <c r="AL189" s="12">
        <f t="shared" si="86"/>
        <v>0.33803160656537923</v>
      </c>
      <c r="AM189" s="13">
        <f>R189/X189</f>
        <v>85.22727272727272</v>
      </c>
      <c r="AN189" s="13">
        <f>P189/X189</f>
        <v>379.99999999999994</v>
      </c>
      <c r="AO189" s="13">
        <f>S189/X189</f>
        <v>0</v>
      </c>
      <c r="AP189" s="13">
        <f>T189/X189</f>
        <v>0</v>
      </c>
      <c r="AQ189" s="12">
        <f>R189+Q189+P189+J189+H189</f>
        <v>9346</v>
      </c>
      <c r="AR189" s="13">
        <f>AO189+AN189+AM189+AE189+AD189+AC189</f>
        <v>1062.0454545454545</v>
      </c>
      <c r="AS189" s="17"/>
    </row>
    <row r="190" spans="1:45" x14ac:dyDescent="0.25">
      <c r="A190" s="22">
        <v>45729</v>
      </c>
      <c r="B190" s="10" t="str">
        <f t="shared" si="93"/>
        <v>2025</v>
      </c>
      <c r="C190" s="10" t="str">
        <f t="shared" si="94"/>
        <v>March</v>
      </c>
      <c r="D190" s="10"/>
      <c r="E190" s="11">
        <v>719</v>
      </c>
      <c r="F190" s="12">
        <v>9706.5</v>
      </c>
      <c r="G190" s="13">
        <v>1055.054347826087</v>
      </c>
      <c r="H190" s="14" t="s">
        <v>31</v>
      </c>
      <c r="I190" s="6">
        <v>0</v>
      </c>
      <c r="J190" s="6">
        <v>57</v>
      </c>
      <c r="K190" s="6"/>
      <c r="L190" s="6">
        <v>4129</v>
      </c>
      <c r="M190" s="6">
        <v>1919</v>
      </c>
      <c r="N190" s="6">
        <v>2210</v>
      </c>
      <c r="O190" s="6"/>
      <c r="P190" s="6">
        <v>3496</v>
      </c>
      <c r="Q190" s="6">
        <v>0</v>
      </c>
      <c r="R190" s="6">
        <v>2300</v>
      </c>
      <c r="S190" s="6">
        <v>0</v>
      </c>
      <c r="T190" s="6">
        <v>0</v>
      </c>
      <c r="U190" s="14" t="s">
        <v>32</v>
      </c>
      <c r="V190" s="14" t="s">
        <v>47</v>
      </c>
      <c r="W190" s="6">
        <v>12</v>
      </c>
      <c r="X190" s="6">
        <v>9.1999999999999993</v>
      </c>
      <c r="Y190" s="15">
        <v>0.90196078431372551</v>
      </c>
      <c r="Z190" s="16">
        <v>0.76666666666666661</v>
      </c>
      <c r="AA190" s="16"/>
      <c r="AB190" s="16"/>
      <c r="AC190" s="13">
        <v>0</v>
      </c>
      <c r="AD190" s="13">
        <v>0</v>
      </c>
      <c r="AE190" s="13">
        <v>448.804347826087</v>
      </c>
      <c r="AF190" s="12">
        <f t="shared" si="92"/>
        <v>208.58695652173915</v>
      </c>
      <c r="AG190" s="12">
        <f t="shared" si="81"/>
        <v>240.21739130434784</v>
      </c>
      <c r="AH190" s="12">
        <f t="shared" si="82"/>
        <v>0</v>
      </c>
      <c r="AI190" s="12">
        <f t="shared" si="83"/>
        <v>0.19770257044248699</v>
      </c>
      <c r="AJ190" s="12">
        <f t="shared" si="84"/>
        <v>0.22768248081182713</v>
      </c>
      <c r="AK190" s="12">
        <f t="shared" si="85"/>
        <v>0</v>
      </c>
      <c r="AL190" s="12">
        <f t="shared" si="86"/>
        <v>0.42538505125431414</v>
      </c>
      <c r="AM190" s="13">
        <v>250.00000000000003</v>
      </c>
      <c r="AN190" s="13">
        <v>380.00000000000006</v>
      </c>
      <c r="AO190" s="13">
        <v>0</v>
      </c>
      <c r="AP190" s="13">
        <v>0</v>
      </c>
      <c r="AQ190" s="12">
        <v>9925</v>
      </c>
      <c r="AR190" s="13">
        <v>1078.804347826087</v>
      </c>
      <c r="AS190" s="17" t="s">
        <v>55</v>
      </c>
    </row>
    <row r="191" spans="1:45" x14ac:dyDescent="0.25">
      <c r="A191" s="22">
        <v>45729</v>
      </c>
      <c r="B191" s="10" t="str">
        <f t="shared" si="93"/>
        <v>2025</v>
      </c>
      <c r="C191" s="10" t="str">
        <f t="shared" si="94"/>
        <v>March</v>
      </c>
      <c r="D191" s="10"/>
      <c r="E191" s="11">
        <v>719</v>
      </c>
      <c r="F191" s="12">
        <f>E191*13.5</f>
        <v>9706.5</v>
      </c>
      <c r="G191" s="14" t="s">
        <v>31</v>
      </c>
      <c r="H191" s="6">
        <v>0</v>
      </c>
      <c r="I191" s="6">
        <v>57</v>
      </c>
      <c r="J191" s="6">
        <f>L191+M191</f>
        <v>4129</v>
      </c>
      <c r="K191" s="6"/>
      <c r="L191" s="6">
        <v>1919</v>
      </c>
      <c r="M191" s="6">
        <v>2210</v>
      </c>
      <c r="N191" s="6">
        <v>0</v>
      </c>
      <c r="O191" s="6"/>
      <c r="P191" s="6">
        <v>3496</v>
      </c>
      <c r="Q191" s="6">
        <v>0</v>
      </c>
      <c r="R191" s="6">
        <v>2300</v>
      </c>
      <c r="S191" s="6">
        <v>0</v>
      </c>
      <c r="T191" s="6">
        <v>0</v>
      </c>
      <c r="U191" s="14" t="s">
        <v>32</v>
      </c>
      <c r="V191" s="14" t="s">
        <v>47</v>
      </c>
      <c r="W191" s="6">
        <v>12</v>
      </c>
      <c r="X191" s="6">
        <v>9.1999999999999993</v>
      </c>
      <c r="Y191" s="15">
        <f>SUM(X191)/(W191*X$2)</f>
        <v>0.12777777777777777</v>
      </c>
      <c r="Z191" s="16">
        <f>X191/W191</f>
        <v>0.76666666666666661</v>
      </c>
      <c r="AA191" s="16"/>
      <c r="AB191" s="16"/>
      <c r="AC191" s="13">
        <f>Q191/X191</f>
        <v>0</v>
      </c>
      <c r="AD191" s="13">
        <f>H191/X191</f>
        <v>0</v>
      </c>
      <c r="AE191" s="13">
        <f>J191/X191</f>
        <v>448.804347826087</v>
      </c>
      <c r="AF191" s="12">
        <f t="shared" si="92"/>
        <v>240.21739130434784</v>
      </c>
      <c r="AG191" s="12"/>
      <c r="AH191" s="12">
        <f t="shared" si="82"/>
        <v>0</v>
      </c>
      <c r="AI191" s="12">
        <f t="shared" si="83"/>
        <v>0.22768248081182713</v>
      </c>
      <c r="AJ191" s="12">
        <f t="shared" si="84"/>
        <v>0</v>
      </c>
      <c r="AK191" s="12">
        <f t="shared" si="85"/>
        <v>0</v>
      </c>
      <c r="AL191" s="12">
        <f t="shared" si="86"/>
        <v>0.22768248081182713</v>
      </c>
      <c r="AM191" s="13">
        <f>R191/X191</f>
        <v>250.00000000000003</v>
      </c>
      <c r="AN191" s="13">
        <f>P191/X191</f>
        <v>380.00000000000006</v>
      </c>
      <c r="AO191" s="13">
        <f>S191/X191</f>
        <v>0</v>
      </c>
      <c r="AP191" s="13">
        <f>T191/X191</f>
        <v>0</v>
      </c>
      <c r="AQ191" s="12">
        <f>R191+Q191+P191+J191+H191</f>
        <v>9925</v>
      </c>
      <c r="AR191" s="13">
        <f>AO191+AN191+AM191+AE191+AD191+AC191</f>
        <v>1078.804347826087</v>
      </c>
      <c r="AS191" s="17" t="s">
        <v>55</v>
      </c>
    </row>
    <row r="192" spans="1:45" x14ac:dyDescent="0.25">
      <c r="A192" s="22">
        <v>45730</v>
      </c>
      <c r="B192" s="10" t="str">
        <f t="shared" si="93"/>
        <v>2025</v>
      </c>
      <c r="C192" s="10" t="str">
        <f t="shared" si="94"/>
        <v>March</v>
      </c>
      <c r="D192" s="10"/>
      <c r="E192" s="11"/>
      <c r="F192" s="12"/>
      <c r="G192" s="1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14"/>
      <c r="V192" s="14"/>
      <c r="W192" s="6"/>
      <c r="X192" s="6"/>
      <c r="Y192" s="15"/>
      <c r="Z192" s="16">
        <v>0</v>
      </c>
      <c r="AA192" s="16"/>
      <c r="AB192" s="16"/>
      <c r="AC192" s="13"/>
      <c r="AD192" s="13"/>
      <c r="AE192" s="13"/>
      <c r="AF192" s="12"/>
      <c r="AG192" s="12"/>
      <c r="AH192" s="12"/>
      <c r="AI192" s="12"/>
      <c r="AJ192" s="12"/>
      <c r="AK192" s="12"/>
      <c r="AL192" s="12"/>
      <c r="AM192" s="13"/>
      <c r="AN192" s="13"/>
      <c r="AO192" s="13"/>
      <c r="AP192" s="13"/>
      <c r="AQ192" s="12"/>
      <c r="AR192" s="13"/>
      <c r="AS192" s="17"/>
    </row>
    <row r="193" spans="1:45" x14ac:dyDescent="0.25">
      <c r="A193" s="22">
        <v>45731</v>
      </c>
      <c r="B193" s="10" t="str">
        <f t="shared" si="93"/>
        <v>2025</v>
      </c>
      <c r="C193" s="10" t="str">
        <f t="shared" si="94"/>
        <v>March</v>
      </c>
      <c r="D193" s="10"/>
      <c r="E193" s="11"/>
      <c r="F193" s="12"/>
      <c r="G193" s="1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14"/>
      <c r="V193" s="14"/>
      <c r="W193" s="6"/>
      <c r="X193" s="6"/>
      <c r="Y193" s="15"/>
      <c r="Z193" s="16">
        <v>0</v>
      </c>
      <c r="AA193" s="16"/>
      <c r="AB193" s="16"/>
      <c r="AC193" s="13"/>
      <c r="AD193" s="13"/>
      <c r="AE193" s="13"/>
      <c r="AF193" s="12"/>
      <c r="AG193" s="12"/>
      <c r="AH193" s="12"/>
      <c r="AI193" s="12"/>
      <c r="AJ193" s="12"/>
      <c r="AK193" s="12"/>
      <c r="AL193" s="12"/>
      <c r="AM193" s="13"/>
      <c r="AN193" s="13"/>
      <c r="AO193" s="13"/>
      <c r="AP193" s="13"/>
      <c r="AQ193" s="12"/>
      <c r="AR193" s="13"/>
      <c r="AS193" s="17"/>
    </row>
    <row r="194" spans="1:45" x14ac:dyDescent="0.25">
      <c r="A194" s="22">
        <v>45734</v>
      </c>
      <c r="B194" s="10" t="str">
        <f t="shared" si="93"/>
        <v>2025</v>
      </c>
      <c r="C194" s="10" t="str">
        <f t="shared" si="94"/>
        <v>March</v>
      </c>
      <c r="D194" s="10"/>
      <c r="E194" s="11">
        <v>346</v>
      </c>
      <c r="F194" s="12">
        <v>4671</v>
      </c>
      <c r="G194" s="13">
        <v>639.8630136986302</v>
      </c>
      <c r="H194" s="14" t="s">
        <v>31</v>
      </c>
      <c r="I194" s="6">
        <v>0</v>
      </c>
      <c r="J194" s="6">
        <v>57</v>
      </c>
      <c r="K194" s="6"/>
      <c r="L194" s="6">
        <v>4512</v>
      </c>
      <c r="M194" s="6">
        <v>1538</v>
      </c>
      <c r="N194" s="6">
        <v>2974</v>
      </c>
      <c r="O194" s="6"/>
      <c r="P194" s="6">
        <v>2774</v>
      </c>
      <c r="Q194" s="6">
        <v>0</v>
      </c>
      <c r="R194" s="6">
        <v>0</v>
      </c>
      <c r="S194" s="6">
        <v>0</v>
      </c>
      <c r="T194" s="6">
        <v>0</v>
      </c>
      <c r="U194" s="14" t="s">
        <v>56</v>
      </c>
      <c r="V194" s="14" t="s">
        <v>57</v>
      </c>
      <c r="W194" s="6">
        <v>10</v>
      </c>
      <c r="X194" s="6">
        <v>7.3</v>
      </c>
      <c r="Y194" s="15">
        <v>0.85882352941176465</v>
      </c>
      <c r="Z194" s="16">
        <v>0.73</v>
      </c>
      <c r="AA194" s="16"/>
      <c r="AB194" s="16"/>
      <c r="AC194" s="13">
        <v>0</v>
      </c>
      <c r="AD194" s="13">
        <v>0</v>
      </c>
      <c r="AE194" s="13">
        <v>618.08219178082197</v>
      </c>
      <c r="AF194" s="12">
        <f t="shared" si="92"/>
        <v>210.68493150684932</v>
      </c>
      <c r="AG194" s="12">
        <f t="shared" si="81"/>
        <v>407.39726027397262</v>
      </c>
      <c r="AH194" s="12">
        <f t="shared" si="82"/>
        <v>0</v>
      </c>
      <c r="AI194" s="12">
        <f t="shared" si="83"/>
        <v>0.32926568186683791</v>
      </c>
      <c r="AJ194" s="12">
        <f t="shared" si="84"/>
        <v>0.63669449796617428</v>
      </c>
      <c r="AK194" s="12">
        <f t="shared" si="85"/>
        <v>0</v>
      </c>
      <c r="AL194" s="12">
        <f t="shared" si="86"/>
        <v>0.96596017983301219</v>
      </c>
      <c r="AM194" s="13">
        <v>0</v>
      </c>
      <c r="AN194" s="13">
        <v>380</v>
      </c>
      <c r="AO194" s="13">
        <v>0</v>
      </c>
      <c r="AP194" s="13">
        <v>0</v>
      </c>
      <c r="AQ194" s="12">
        <v>7286</v>
      </c>
      <c r="AR194" s="13">
        <v>998.08219178082197</v>
      </c>
      <c r="AS194" s="17"/>
    </row>
    <row r="195" spans="1:45" x14ac:dyDescent="0.25">
      <c r="A195" s="22">
        <v>45734</v>
      </c>
      <c r="B195" s="10" t="str">
        <f t="shared" si="93"/>
        <v>2025</v>
      </c>
      <c r="C195" s="10" t="str">
        <f t="shared" si="94"/>
        <v>March</v>
      </c>
      <c r="D195" s="10"/>
      <c r="E195" s="11">
        <v>346</v>
      </c>
      <c r="F195" s="12">
        <f>E195*13.5</f>
        <v>4671</v>
      </c>
      <c r="G195" s="14" t="s">
        <v>31</v>
      </c>
      <c r="H195" s="6">
        <v>0</v>
      </c>
      <c r="I195" s="6">
        <v>57</v>
      </c>
      <c r="J195" s="6">
        <f>L195+M195</f>
        <v>4512</v>
      </c>
      <c r="K195" s="6"/>
      <c r="L195" s="6">
        <v>1538</v>
      </c>
      <c r="M195" s="6">
        <v>2974</v>
      </c>
      <c r="N195" s="6">
        <v>0</v>
      </c>
      <c r="O195" s="6"/>
      <c r="P195" s="6">
        <v>2774</v>
      </c>
      <c r="Q195" s="6">
        <v>0</v>
      </c>
      <c r="R195" s="6">
        <v>0</v>
      </c>
      <c r="S195" s="6">
        <v>0</v>
      </c>
      <c r="T195" s="6">
        <v>0</v>
      </c>
      <c r="U195" s="14" t="s">
        <v>56</v>
      </c>
      <c r="V195" s="14" t="s">
        <v>57</v>
      </c>
      <c r="W195" s="6">
        <v>10</v>
      </c>
      <c r="X195" s="6">
        <v>7.3</v>
      </c>
      <c r="Y195" s="15">
        <f>SUM(X195)/(W195*X$2)</f>
        <v>0.12166666666666666</v>
      </c>
      <c r="Z195" s="16">
        <f>X195/W195</f>
        <v>0.73</v>
      </c>
      <c r="AA195" s="16"/>
      <c r="AB195" s="16"/>
      <c r="AC195" s="13">
        <f>Q195/X195</f>
        <v>0</v>
      </c>
      <c r="AD195" s="13">
        <f>H195/X195</f>
        <v>0</v>
      </c>
      <c r="AE195" s="13">
        <f>J195/X195</f>
        <v>618.08219178082197</v>
      </c>
      <c r="AF195" s="12">
        <f t="shared" si="92"/>
        <v>407.39726027397262</v>
      </c>
      <c r="AG195" s="12"/>
      <c r="AH195" s="12">
        <f t="shared" si="82"/>
        <v>0</v>
      </c>
      <c r="AI195" s="12">
        <f t="shared" si="83"/>
        <v>0.63669449796617428</v>
      </c>
      <c r="AJ195" s="12">
        <f t="shared" si="84"/>
        <v>0</v>
      </c>
      <c r="AK195" s="12">
        <f t="shared" si="85"/>
        <v>0</v>
      </c>
      <c r="AL195" s="12">
        <f t="shared" si="86"/>
        <v>0.63669449796617428</v>
      </c>
      <c r="AM195" s="13">
        <f>R195/X195</f>
        <v>0</v>
      </c>
      <c r="AN195" s="13">
        <f>P195/X195</f>
        <v>380</v>
      </c>
      <c r="AO195" s="13">
        <f>S195/X195</f>
        <v>0</v>
      </c>
      <c r="AP195" s="13">
        <f>T195/X195</f>
        <v>0</v>
      </c>
      <c r="AQ195" s="12">
        <f>R195+Q195+P195+J195+H195</f>
        <v>7286</v>
      </c>
      <c r="AR195" s="13">
        <f>AO195+AN195+AM195+AE195+AD195+AC195</f>
        <v>998.08219178082197</v>
      </c>
      <c r="AS195" s="17"/>
    </row>
    <row r="196" spans="1:45" x14ac:dyDescent="0.25">
      <c r="A196" s="22">
        <v>45736</v>
      </c>
      <c r="B196" s="10" t="str">
        <f t="shared" si="93"/>
        <v>2025</v>
      </c>
      <c r="C196" s="10" t="str">
        <f t="shared" si="94"/>
        <v>March</v>
      </c>
      <c r="D196" s="10"/>
      <c r="E196" s="11">
        <v>602</v>
      </c>
      <c r="F196" s="12">
        <v>8127</v>
      </c>
      <c r="G196" s="13">
        <v>979.15662650602405</v>
      </c>
      <c r="H196" s="14" t="s">
        <v>31</v>
      </c>
      <c r="I196" s="6">
        <v>0</v>
      </c>
      <c r="J196" s="6">
        <v>57</v>
      </c>
      <c r="K196" s="6"/>
      <c r="L196" s="6">
        <v>5350</v>
      </c>
      <c r="M196" s="6">
        <v>2774</v>
      </c>
      <c r="N196" s="6">
        <v>2576</v>
      </c>
      <c r="O196" s="6"/>
      <c r="P196" s="6">
        <v>3154</v>
      </c>
      <c r="Q196" s="6">
        <v>0</v>
      </c>
      <c r="R196" s="6">
        <v>0</v>
      </c>
      <c r="S196" s="6">
        <v>0</v>
      </c>
      <c r="T196" s="6">
        <v>0</v>
      </c>
      <c r="U196" s="14" t="s">
        <v>56</v>
      </c>
      <c r="V196" s="14" t="s">
        <v>47</v>
      </c>
      <c r="W196" s="6">
        <v>10</v>
      </c>
      <c r="X196" s="6">
        <v>8.3000000000000007</v>
      </c>
      <c r="Y196" s="15">
        <v>0.9764705882352942</v>
      </c>
      <c r="Z196" s="16">
        <v>0.83000000000000007</v>
      </c>
      <c r="AA196" s="16"/>
      <c r="AB196" s="16"/>
      <c r="AC196" s="13">
        <v>0</v>
      </c>
      <c r="AD196" s="13">
        <v>0</v>
      </c>
      <c r="AE196" s="13">
        <v>644.57831325301197</v>
      </c>
      <c r="AF196" s="12">
        <f t="shared" si="92"/>
        <v>334.2168674698795</v>
      </c>
      <c r="AG196" s="12">
        <f t="shared" si="81"/>
        <v>310.36144578313252</v>
      </c>
      <c r="AH196" s="12">
        <f t="shared" si="82"/>
        <v>0</v>
      </c>
      <c r="AI196" s="12">
        <f t="shared" si="83"/>
        <v>0.34133136458717855</v>
      </c>
      <c r="AJ196" s="12">
        <f t="shared" si="84"/>
        <v>0.3169681309216193</v>
      </c>
      <c r="AK196" s="12">
        <f t="shared" si="85"/>
        <v>0</v>
      </c>
      <c r="AL196" s="12">
        <f t="shared" si="86"/>
        <v>0.65829949550879785</v>
      </c>
      <c r="AM196" s="13">
        <v>0</v>
      </c>
      <c r="AN196" s="13">
        <v>379.99999999999994</v>
      </c>
      <c r="AO196" s="13">
        <v>0</v>
      </c>
      <c r="AP196" s="13">
        <v>0</v>
      </c>
      <c r="AQ196" s="12">
        <v>8504</v>
      </c>
      <c r="AR196" s="13">
        <v>1024.5783132530119</v>
      </c>
      <c r="AS196" s="17" t="s">
        <v>58</v>
      </c>
    </row>
    <row r="197" spans="1:45" x14ac:dyDescent="0.25">
      <c r="A197" s="22">
        <v>45736</v>
      </c>
      <c r="B197" s="10" t="str">
        <f t="shared" si="93"/>
        <v>2025</v>
      </c>
      <c r="C197" s="10" t="str">
        <f t="shared" si="94"/>
        <v>March</v>
      </c>
      <c r="D197" s="10"/>
      <c r="E197" s="11">
        <v>602</v>
      </c>
      <c r="F197" s="12">
        <f>E197*13.5</f>
        <v>8127</v>
      </c>
      <c r="G197" s="14" t="s">
        <v>31</v>
      </c>
      <c r="H197" s="6">
        <v>0</v>
      </c>
      <c r="I197" s="6">
        <v>57</v>
      </c>
      <c r="J197" s="6">
        <f>L197+M197</f>
        <v>5350</v>
      </c>
      <c r="K197" s="6"/>
      <c r="L197" s="6">
        <v>2774</v>
      </c>
      <c r="M197" s="6">
        <v>2576</v>
      </c>
      <c r="N197" s="6">
        <v>0</v>
      </c>
      <c r="O197" s="6"/>
      <c r="P197" s="6">
        <v>3154</v>
      </c>
      <c r="Q197" s="6">
        <v>0</v>
      </c>
      <c r="R197" s="6">
        <v>0</v>
      </c>
      <c r="S197" s="6">
        <v>0</v>
      </c>
      <c r="T197" s="6">
        <v>0</v>
      </c>
      <c r="U197" s="14" t="s">
        <v>56</v>
      </c>
      <c r="V197" s="14" t="s">
        <v>47</v>
      </c>
      <c r="W197" s="6">
        <v>10</v>
      </c>
      <c r="X197" s="6">
        <v>8.3000000000000007</v>
      </c>
      <c r="Y197" s="15">
        <f>SUM(X197)/(W197*X$2)</f>
        <v>0.13833333333333334</v>
      </c>
      <c r="Z197" s="16">
        <f>X197/W197</f>
        <v>0.83000000000000007</v>
      </c>
      <c r="AA197" s="16"/>
      <c r="AB197" s="16"/>
      <c r="AC197" s="13">
        <f>Q197/X197</f>
        <v>0</v>
      </c>
      <c r="AD197" s="13">
        <f>H197/X197</f>
        <v>0</v>
      </c>
      <c r="AE197" s="13">
        <f>J197/X197</f>
        <v>644.57831325301197</v>
      </c>
      <c r="AF197" s="12">
        <f t="shared" si="92"/>
        <v>310.36144578313252</v>
      </c>
      <c r="AG197" s="12"/>
      <c r="AH197" s="12">
        <f t="shared" si="82"/>
        <v>0</v>
      </c>
      <c r="AI197" s="12">
        <f t="shared" si="83"/>
        <v>0.3169681309216193</v>
      </c>
      <c r="AJ197" s="12">
        <f t="shared" si="84"/>
        <v>0</v>
      </c>
      <c r="AK197" s="12">
        <f t="shared" si="85"/>
        <v>0</v>
      </c>
      <c r="AL197" s="12">
        <f t="shared" si="86"/>
        <v>0.3169681309216193</v>
      </c>
      <c r="AM197" s="13">
        <f>R197/X197</f>
        <v>0</v>
      </c>
      <c r="AN197" s="13">
        <f>P197/X197</f>
        <v>379.99999999999994</v>
      </c>
      <c r="AO197" s="13">
        <f>S197/X197</f>
        <v>0</v>
      </c>
      <c r="AP197" s="13">
        <f>T197/X197</f>
        <v>0</v>
      </c>
      <c r="AQ197" s="12">
        <f>R197+Q197+P197+J197+H197</f>
        <v>8504</v>
      </c>
      <c r="AR197" s="13">
        <f>AO197+AN197+AM197+AE197+AD197+AC197</f>
        <v>1024.5783132530119</v>
      </c>
      <c r="AS197" s="17" t="s">
        <v>58</v>
      </c>
    </row>
    <row r="198" spans="1:45" x14ac:dyDescent="0.25">
      <c r="A198" s="22">
        <v>45737</v>
      </c>
      <c r="B198" s="10" t="str">
        <f t="shared" si="93"/>
        <v>2025</v>
      </c>
      <c r="C198" s="10" t="str">
        <f t="shared" si="94"/>
        <v>March</v>
      </c>
      <c r="D198" s="10"/>
      <c r="E198" s="11">
        <v>235</v>
      </c>
      <c r="F198" s="12">
        <v>3172.5</v>
      </c>
      <c r="G198" s="13">
        <v>881.25</v>
      </c>
      <c r="H198" s="14" t="s">
        <v>31</v>
      </c>
      <c r="I198" s="6">
        <v>0</v>
      </c>
      <c r="J198" s="6">
        <v>57</v>
      </c>
      <c r="K198" s="6"/>
      <c r="L198" s="6">
        <v>1586</v>
      </c>
      <c r="M198" s="6">
        <v>717</v>
      </c>
      <c r="N198" s="6">
        <v>869</v>
      </c>
      <c r="O198" s="6"/>
      <c r="P198" s="6">
        <v>1368</v>
      </c>
      <c r="Q198" s="6">
        <v>0</v>
      </c>
      <c r="R198" s="6">
        <v>1080</v>
      </c>
      <c r="S198" s="6">
        <v>0</v>
      </c>
      <c r="T198" s="6">
        <v>0</v>
      </c>
      <c r="U198" s="14" t="s">
        <v>56</v>
      </c>
      <c r="V198" s="14" t="s">
        <v>47</v>
      </c>
      <c r="W198" s="6">
        <v>5</v>
      </c>
      <c r="X198" s="6">
        <v>3.6</v>
      </c>
      <c r="Y198" s="15">
        <v>0.84705882352941175</v>
      </c>
      <c r="Z198" s="16">
        <v>0.72</v>
      </c>
      <c r="AA198" s="16"/>
      <c r="AB198" s="16"/>
      <c r="AC198" s="13">
        <v>0</v>
      </c>
      <c r="AD198" s="13">
        <v>0</v>
      </c>
      <c r="AE198" s="13">
        <v>440.55555555555554</v>
      </c>
      <c r="AF198" s="12">
        <f t="shared" si="92"/>
        <v>199.16666666666666</v>
      </c>
      <c r="AG198" s="12">
        <f t="shared" si="81"/>
        <v>241.38888888888889</v>
      </c>
      <c r="AH198" s="12">
        <f t="shared" si="82"/>
        <v>0</v>
      </c>
      <c r="AI198" s="12">
        <f t="shared" si="83"/>
        <v>0.2260047281323877</v>
      </c>
      <c r="AJ198" s="12">
        <f t="shared" si="84"/>
        <v>0.27391646966115052</v>
      </c>
      <c r="AK198" s="12">
        <f t="shared" si="85"/>
        <v>0</v>
      </c>
      <c r="AL198" s="12">
        <f t="shared" si="86"/>
        <v>0.49992119779353822</v>
      </c>
      <c r="AM198" s="13">
        <v>300</v>
      </c>
      <c r="AN198" s="13">
        <v>380</v>
      </c>
      <c r="AO198" s="13">
        <v>0</v>
      </c>
      <c r="AP198" s="13">
        <v>0</v>
      </c>
      <c r="AQ198" s="12">
        <v>4034</v>
      </c>
      <c r="AR198" s="13">
        <v>1120.5555555555557</v>
      </c>
      <c r="AS198" s="17" t="s">
        <v>59</v>
      </c>
    </row>
    <row r="199" spans="1:45" x14ac:dyDescent="0.25">
      <c r="A199" s="22">
        <v>45737</v>
      </c>
      <c r="B199" s="10" t="str">
        <f t="shared" si="93"/>
        <v>2025</v>
      </c>
      <c r="C199" s="10" t="str">
        <f t="shared" si="94"/>
        <v>March</v>
      </c>
      <c r="D199" s="10"/>
      <c r="E199" s="11">
        <v>235</v>
      </c>
      <c r="F199" s="12">
        <f>E199*13.5</f>
        <v>3172.5</v>
      </c>
      <c r="G199" s="14" t="s">
        <v>31</v>
      </c>
      <c r="H199" s="6">
        <v>0</v>
      </c>
      <c r="I199" s="6">
        <v>57</v>
      </c>
      <c r="J199" s="6">
        <f>L199+M199</f>
        <v>1586</v>
      </c>
      <c r="K199" s="6"/>
      <c r="L199" s="6">
        <v>717</v>
      </c>
      <c r="M199" s="6">
        <v>869</v>
      </c>
      <c r="N199" s="6">
        <v>0</v>
      </c>
      <c r="O199" s="6"/>
      <c r="P199" s="6">
        <v>1368</v>
      </c>
      <c r="Q199" s="6">
        <v>0</v>
      </c>
      <c r="R199" s="6">
        <v>1080</v>
      </c>
      <c r="S199" s="6">
        <v>0</v>
      </c>
      <c r="T199" s="6">
        <v>0</v>
      </c>
      <c r="U199" s="14" t="s">
        <v>56</v>
      </c>
      <c r="V199" s="14" t="s">
        <v>47</v>
      </c>
      <c r="W199" s="6">
        <v>5</v>
      </c>
      <c r="X199" s="6">
        <v>3.6</v>
      </c>
      <c r="Y199" s="15">
        <f>SUM(X199)/(W199*X$2)</f>
        <v>0.12000000000000001</v>
      </c>
      <c r="Z199" s="16">
        <f>X199/W199</f>
        <v>0.72</v>
      </c>
      <c r="AA199" s="16"/>
      <c r="AB199" s="16"/>
      <c r="AC199" s="13">
        <f>Q199/X199</f>
        <v>0</v>
      </c>
      <c r="AD199" s="13">
        <f>H199/X199</f>
        <v>0</v>
      </c>
      <c r="AE199" s="13">
        <f>J199/X199</f>
        <v>440.55555555555554</v>
      </c>
      <c r="AF199" s="12">
        <f t="shared" si="92"/>
        <v>241.38888888888889</v>
      </c>
      <c r="AG199" s="12"/>
      <c r="AH199" s="12">
        <f t="shared" si="82"/>
        <v>0</v>
      </c>
      <c r="AI199" s="12">
        <f t="shared" si="83"/>
        <v>0.27391646966115052</v>
      </c>
      <c r="AJ199" s="12">
        <f t="shared" si="84"/>
        <v>0</v>
      </c>
      <c r="AK199" s="12">
        <f t="shared" si="85"/>
        <v>0</v>
      </c>
      <c r="AL199" s="12">
        <f t="shared" si="86"/>
        <v>0.27391646966115052</v>
      </c>
      <c r="AM199" s="13">
        <f>R199/X199</f>
        <v>300</v>
      </c>
      <c r="AN199" s="13">
        <f>P199/X199</f>
        <v>380</v>
      </c>
      <c r="AO199" s="13">
        <f>S199/X199</f>
        <v>0</v>
      </c>
      <c r="AP199" s="13">
        <f>T199/X199</f>
        <v>0</v>
      </c>
      <c r="AQ199" s="12">
        <f>R199+Q199+P199+J199+H199</f>
        <v>4034</v>
      </c>
      <c r="AR199" s="13">
        <f>AO199+AN199+AM199+AE199+AD199+AC199</f>
        <v>1120.5555555555557</v>
      </c>
      <c r="AS199" s="17" t="s">
        <v>59</v>
      </c>
    </row>
    <row r="200" spans="1:45" x14ac:dyDescent="0.25">
      <c r="A200" s="22">
        <v>45738</v>
      </c>
      <c r="B200" s="10" t="str">
        <f t="shared" si="93"/>
        <v>2025</v>
      </c>
      <c r="C200" s="10" t="str">
        <f t="shared" si="94"/>
        <v>March</v>
      </c>
      <c r="D200" s="10"/>
      <c r="E200" s="11"/>
      <c r="F200" s="12"/>
      <c r="G200" s="14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14"/>
      <c r="V200" s="14"/>
      <c r="W200" s="6"/>
      <c r="X200" s="6"/>
      <c r="Y200" s="15"/>
      <c r="Z200" s="16">
        <v>0</v>
      </c>
      <c r="AA200" s="16"/>
      <c r="AB200" s="16"/>
      <c r="AC200" s="13"/>
      <c r="AD200" s="13"/>
      <c r="AE200" s="13"/>
      <c r="AF200" s="12"/>
      <c r="AG200" s="12"/>
      <c r="AH200" s="12"/>
      <c r="AI200" s="12"/>
      <c r="AJ200" s="12"/>
      <c r="AK200" s="12"/>
      <c r="AL200" s="12"/>
      <c r="AM200" s="13"/>
      <c r="AN200" s="13"/>
      <c r="AO200" s="13"/>
      <c r="AP200" s="13"/>
      <c r="AQ200" s="12"/>
      <c r="AR200" s="13"/>
      <c r="AS200" s="17"/>
    </row>
    <row r="201" spans="1:45" x14ac:dyDescent="0.25">
      <c r="A201" s="22">
        <v>45739</v>
      </c>
      <c r="B201" s="10" t="str">
        <f t="shared" si="93"/>
        <v>2025</v>
      </c>
      <c r="C201" s="10" t="str">
        <f t="shared" si="94"/>
        <v>March</v>
      </c>
      <c r="D201" s="10"/>
      <c r="E201" s="11"/>
      <c r="F201" s="12"/>
      <c r="G201" s="1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14"/>
      <c r="V201" s="14"/>
      <c r="W201" s="6"/>
      <c r="X201" s="6"/>
      <c r="Y201" s="15"/>
      <c r="Z201" s="16">
        <v>0</v>
      </c>
      <c r="AA201" s="16"/>
      <c r="AB201" s="16"/>
      <c r="AC201" s="13"/>
      <c r="AD201" s="13"/>
      <c r="AE201" s="13"/>
      <c r="AF201" s="12"/>
      <c r="AG201" s="12"/>
      <c r="AH201" s="12"/>
      <c r="AI201" s="12"/>
      <c r="AJ201" s="12"/>
      <c r="AK201" s="12"/>
      <c r="AL201" s="12"/>
      <c r="AM201" s="13"/>
      <c r="AN201" s="13"/>
      <c r="AO201" s="13"/>
      <c r="AP201" s="13"/>
      <c r="AQ201" s="12"/>
      <c r="AR201" s="13"/>
      <c r="AS201" s="17"/>
    </row>
    <row r="202" spans="1:45" x14ac:dyDescent="0.25">
      <c r="A202" s="22">
        <v>45743</v>
      </c>
      <c r="B202" s="10" t="str">
        <f t="shared" si="93"/>
        <v>2025</v>
      </c>
      <c r="C202" s="10" t="str">
        <f t="shared" si="94"/>
        <v>March</v>
      </c>
      <c r="D202" s="10"/>
      <c r="E202" s="11">
        <v>485</v>
      </c>
      <c r="F202" s="12">
        <v>6547.5</v>
      </c>
      <c r="G202" s="13">
        <v>873</v>
      </c>
      <c r="H202" s="14" t="s">
        <v>31</v>
      </c>
      <c r="I202" s="6">
        <v>0</v>
      </c>
      <c r="J202" s="6">
        <v>57</v>
      </c>
      <c r="K202" s="6"/>
      <c r="L202" s="6">
        <v>4795</v>
      </c>
      <c r="M202" s="6">
        <v>1897</v>
      </c>
      <c r="N202" s="6">
        <v>2898</v>
      </c>
      <c r="O202" s="6"/>
      <c r="P202" s="6">
        <v>2850</v>
      </c>
      <c r="Q202" s="6">
        <v>0</v>
      </c>
      <c r="R202" s="6">
        <v>0</v>
      </c>
      <c r="S202" s="6">
        <v>0</v>
      </c>
      <c r="T202" s="6">
        <v>0</v>
      </c>
      <c r="U202" s="14" t="s">
        <v>56</v>
      </c>
      <c r="V202" s="14" t="s">
        <v>47</v>
      </c>
      <c r="W202" s="6">
        <v>10</v>
      </c>
      <c r="X202" s="6">
        <v>7.5</v>
      </c>
      <c r="Y202" s="15">
        <v>0.88235294117647056</v>
      </c>
      <c r="Z202" s="16">
        <v>0.75</v>
      </c>
      <c r="AA202" s="16"/>
      <c r="AB202" s="16"/>
      <c r="AC202" s="13">
        <v>0</v>
      </c>
      <c r="AD202" s="13">
        <v>0</v>
      </c>
      <c r="AE202" s="13">
        <v>639.33333333333337</v>
      </c>
      <c r="AF202" s="12">
        <f t="shared" si="92"/>
        <v>252.93333333333334</v>
      </c>
      <c r="AG202" s="12">
        <f t="shared" si="81"/>
        <v>386.4</v>
      </c>
      <c r="AH202" s="12">
        <f t="shared" si="82"/>
        <v>0</v>
      </c>
      <c r="AI202" s="12">
        <f t="shared" si="83"/>
        <v>0.28972890416189384</v>
      </c>
      <c r="AJ202" s="12">
        <f t="shared" si="84"/>
        <v>0.44261168384879723</v>
      </c>
      <c r="AK202" s="12">
        <f t="shared" si="85"/>
        <v>0</v>
      </c>
      <c r="AL202" s="12">
        <f t="shared" si="86"/>
        <v>0.73234058801069102</v>
      </c>
      <c r="AM202" s="13">
        <v>0</v>
      </c>
      <c r="AN202" s="13">
        <v>380</v>
      </c>
      <c r="AO202" s="13">
        <v>0</v>
      </c>
      <c r="AP202" s="13">
        <v>0</v>
      </c>
      <c r="AQ202" s="12">
        <v>7645</v>
      </c>
      <c r="AR202" s="13">
        <v>1019.3333333333334</v>
      </c>
      <c r="AS202" s="17" t="s">
        <v>60</v>
      </c>
    </row>
    <row r="203" spans="1:45" x14ac:dyDescent="0.25">
      <c r="A203" s="22">
        <v>45743</v>
      </c>
      <c r="B203" s="10" t="str">
        <f t="shared" si="93"/>
        <v>2025</v>
      </c>
      <c r="C203" s="10" t="str">
        <f t="shared" si="94"/>
        <v>March</v>
      </c>
      <c r="D203" s="10"/>
      <c r="E203" s="11">
        <v>485</v>
      </c>
      <c r="F203" s="12">
        <f>E203*13.5</f>
        <v>6547.5</v>
      </c>
      <c r="G203" s="14" t="s">
        <v>31</v>
      </c>
      <c r="H203" s="6">
        <v>0</v>
      </c>
      <c r="I203" s="6">
        <v>57</v>
      </c>
      <c r="J203" s="6">
        <f>L203+M203</f>
        <v>4795</v>
      </c>
      <c r="K203" s="6"/>
      <c r="L203" s="6">
        <v>1897</v>
      </c>
      <c r="M203" s="6">
        <v>2898</v>
      </c>
      <c r="N203" s="6">
        <v>0</v>
      </c>
      <c r="O203" s="6"/>
      <c r="P203" s="6">
        <v>2850</v>
      </c>
      <c r="Q203" s="6">
        <v>0</v>
      </c>
      <c r="R203" s="6">
        <v>0</v>
      </c>
      <c r="S203" s="6">
        <v>0</v>
      </c>
      <c r="T203" s="6">
        <v>0</v>
      </c>
      <c r="U203" s="14" t="s">
        <v>56</v>
      </c>
      <c r="V203" s="14" t="s">
        <v>47</v>
      </c>
      <c r="W203" s="6">
        <v>10</v>
      </c>
      <c r="X203" s="6">
        <v>7.5</v>
      </c>
      <c r="Y203" s="15">
        <f>SUM(X203)/(W203*X$2)</f>
        <v>0.125</v>
      </c>
      <c r="Z203" s="16">
        <f>X203/W203</f>
        <v>0.75</v>
      </c>
      <c r="AA203" s="16"/>
      <c r="AB203" s="16"/>
      <c r="AC203" s="13">
        <f>Q203/X203</f>
        <v>0</v>
      </c>
      <c r="AD203" s="13">
        <f>H203/X203</f>
        <v>0</v>
      </c>
      <c r="AE203" s="13">
        <f>J203/X203</f>
        <v>639.33333333333337</v>
      </c>
      <c r="AF203" s="12">
        <f t="shared" si="92"/>
        <v>386.4</v>
      </c>
      <c r="AG203" s="12"/>
      <c r="AH203" s="12">
        <f t="shared" si="82"/>
        <v>0</v>
      </c>
      <c r="AI203" s="12">
        <f t="shared" si="83"/>
        <v>0.44261168384879723</v>
      </c>
      <c r="AJ203" s="12">
        <f t="shared" si="84"/>
        <v>0</v>
      </c>
      <c r="AK203" s="12">
        <f t="shared" si="85"/>
        <v>0</v>
      </c>
      <c r="AL203" s="12">
        <f t="shared" si="86"/>
        <v>0.44261168384879723</v>
      </c>
      <c r="AM203" s="13">
        <f>R203/X203</f>
        <v>0</v>
      </c>
      <c r="AN203" s="13">
        <f>P203/X203</f>
        <v>380</v>
      </c>
      <c r="AO203" s="13">
        <f>S203/X203</f>
        <v>0</v>
      </c>
      <c r="AP203" s="13">
        <f>T203/X203</f>
        <v>0</v>
      </c>
      <c r="AQ203" s="12">
        <f>R203+Q203+P203+J203+H203</f>
        <v>7645</v>
      </c>
      <c r="AR203" s="13">
        <f>AO203+AN203+AM203+AE203+AD203+AC203</f>
        <v>1019.3333333333334</v>
      </c>
      <c r="AS203" s="17" t="s">
        <v>60</v>
      </c>
    </row>
    <row r="204" spans="1:45" x14ac:dyDescent="0.25">
      <c r="A204" s="22">
        <v>45744</v>
      </c>
      <c r="B204" s="10" t="str">
        <f t="shared" si="93"/>
        <v>2025</v>
      </c>
      <c r="C204" s="10" t="str">
        <f t="shared" si="94"/>
        <v>March</v>
      </c>
      <c r="D204" s="10"/>
      <c r="E204" s="11"/>
      <c r="F204" s="12"/>
      <c r="G204" s="1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14"/>
      <c r="V204" s="14"/>
      <c r="W204" s="6"/>
      <c r="X204" s="6"/>
      <c r="Y204" s="15"/>
      <c r="Z204" s="16">
        <v>0</v>
      </c>
      <c r="AA204" s="16"/>
      <c r="AB204" s="16"/>
      <c r="AC204" s="13"/>
      <c r="AD204" s="13"/>
      <c r="AE204" s="13"/>
      <c r="AF204" s="12"/>
      <c r="AG204" s="12"/>
      <c r="AH204" s="12"/>
      <c r="AI204" s="12"/>
      <c r="AJ204" s="12"/>
      <c r="AK204" s="12"/>
      <c r="AL204" s="12"/>
      <c r="AM204" s="13"/>
      <c r="AN204" s="13"/>
      <c r="AO204" s="13"/>
      <c r="AP204" s="13"/>
      <c r="AQ204" s="12"/>
      <c r="AR204" s="13"/>
      <c r="AS204" s="17"/>
    </row>
    <row r="205" spans="1:45" x14ac:dyDescent="0.25">
      <c r="A205" s="22">
        <v>45748</v>
      </c>
      <c r="B205" s="10" t="str">
        <f t="shared" si="93"/>
        <v>2025</v>
      </c>
      <c r="C205" s="10" t="str">
        <f t="shared" si="94"/>
        <v>April</v>
      </c>
      <c r="D205" s="10"/>
      <c r="E205" s="11">
        <v>657</v>
      </c>
      <c r="F205" s="12">
        <v>8869.5</v>
      </c>
      <c r="G205" s="13">
        <v>1055.8928571428571</v>
      </c>
      <c r="H205" s="14" t="s">
        <v>31</v>
      </c>
      <c r="I205" s="6">
        <v>0</v>
      </c>
      <c r="J205" s="6">
        <v>57</v>
      </c>
      <c r="K205" s="6"/>
      <c r="L205" s="6">
        <v>5690</v>
      </c>
      <c r="M205" s="6">
        <v>2281</v>
      </c>
      <c r="N205" s="6">
        <v>3409</v>
      </c>
      <c r="O205" s="6"/>
      <c r="P205" s="6">
        <v>3198</v>
      </c>
      <c r="Q205" s="6">
        <v>0</v>
      </c>
      <c r="R205" s="6">
        <v>0</v>
      </c>
      <c r="S205" s="6">
        <v>0</v>
      </c>
      <c r="T205" s="6">
        <v>0</v>
      </c>
      <c r="U205" s="14" t="s">
        <v>56</v>
      </c>
      <c r="V205" s="14" t="s">
        <v>47</v>
      </c>
      <c r="W205" s="6">
        <v>10</v>
      </c>
      <c r="X205" s="6">
        <v>8.4</v>
      </c>
      <c r="Y205" s="15">
        <v>0.9882352941176471</v>
      </c>
      <c r="Z205" s="16">
        <v>0.84000000000000008</v>
      </c>
      <c r="AA205" s="16"/>
      <c r="AB205" s="16"/>
      <c r="AC205" s="13">
        <v>0</v>
      </c>
      <c r="AD205" s="13">
        <v>0</v>
      </c>
      <c r="AE205" s="13">
        <v>677.38095238095241</v>
      </c>
      <c r="AF205" s="12">
        <f t="shared" si="92"/>
        <v>271.54761904761904</v>
      </c>
      <c r="AG205" s="12">
        <f t="shared" si="81"/>
        <v>405.83333333333331</v>
      </c>
      <c r="AH205" s="12">
        <f t="shared" si="82"/>
        <v>0</v>
      </c>
      <c r="AI205" s="12">
        <f t="shared" si="83"/>
        <v>0.25717345960877164</v>
      </c>
      <c r="AJ205" s="12">
        <f t="shared" si="84"/>
        <v>0.38435086532499013</v>
      </c>
      <c r="AK205" s="12">
        <f t="shared" si="85"/>
        <v>0</v>
      </c>
      <c r="AL205" s="12">
        <f t="shared" si="86"/>
        <v>0.64152432493376177</v>
      </c>
      <c r="AM205" s="13">
        <v>0</v>
      </c>
      <c r="AN205" s="13">
        <v>380.71428571428572</v>
      </c>
      <c r="AO205" s="13">
        <v>0</v>
      </c>
      <c r="AP205" s="13">
        <v>0</v>
      </c>
      <c r="AQ205" s="12">
        <v>8888</v>
      </c>
      <c r="AR205" s="13">
        <v>1058.0952380952381</v>
      </c>
      <c r="AS205" s="17" t="s">
        <v>61</v>
      </c>
    </row>
    <row r="206" spans="1:45" x14ac:dyDescent="0.25">
      <c r="A206" s="22">
        <v>45748</v>
      </c>
      <c r="B206" s="10" t="str">
        <f t="shared" ref="B206:B269" si="96">TEXT(A206,"YYYY")</f>
        <v>2025</v>
      </c>
      <c r="C206" s="10" t="str">
        <f t="shared" ref="C206:C269" si="97">TEXT(A206,"MMMM")</f>
        <v>April</v>
      </c>
      <c r="D206" s="10"/>
      <c r="E206" s="11">
        <v>657</v>
      </c>
      <c r="F206" s="12">
        <f>E206*13.5</f>
        <v>8869.5</v>
      </c>
      <c r="G206" s="14" t="s">
        <v>31</v>
      </c>
      <c r="H206" s="6">
        <v>0</v>
      </c>
      <c r="I206" s="6">
        <v>57</v>
      </c>
      <c r="J206" s="6">
        <f>L206+M206</f>
        <v>5690</v>
      </c>
      <c r="K206" s="6"/>
      <c r="L206" s="6">
        <v>2281</v>
      </c>
      <c r="M206" s="6">
        <v>3409</v>
      </c>
      <c r="N206" s="6">
        <v>0</v>
      </c>
      <c r="O206" s="6"/>
      <c r="P206" s="6">
        <v>3198</v>
      </c>
      <c r="Q206" s="6">
        <v>0</v>
      </c>
      <c r="R206" s="6">
        <v>0</v>
      </c>
      <c r="S206" s="6">
        <v>0</v>
      </c>
      <c r="T206" s="6">
        <v>0</v>
      </c>
      <c r="U206" s="14" t="s">
        <v>56</v>
      </c>
      <c r="V206" s="14" t="s">
        <v>47</v>
      </c>
      <c r="W206" s="6">
        <v>10</v>
      </c>
      <c r="X206" s="6">
        <v>8.4</v>
      </c>
      <c r="Y206" s="15">
        <f>SUM(X206)/(W206*X$2)</f>
        <v>0.14000000000000001</v>
      </c>
      <c r="Z206" s="16">
        <f>X206/W206</f>
        <v>0.84000000000000008</v>
      </c>
      <c r="AA206" s="16"/>
      <c r="AB206" s="16"/>
      <c r="AC206" s="13">
        <f>Q206/X206</f>
        <v>0</v>
      </c>
      <c r="AD206" s="13">
        <f>H206/X206</f>
        <v>0</v>
      </c>
      <c r="AE206" s="13">
        <f>J206/X206</f>
        <v>677.38095238095241</v>
      </c>
      <c r="AF206" s="12">
        <f t="shared" si="92"/>
        <v>405.83333333333331</v>
      </c>
      <c r="AG206" s="12"/>
      <c r="AH206" s="12">
        <f t="shared" si="82"/>
        <v>0</v>
      </c>
      <c r="AI206" s="12">
        <f t="shared" si="83"/>
        <v>0.38435086532499013</v>
      </c>
      <c r="AJ206" s="12">
        <f t="shared" si="84"/>
        <v>0</v>
      </c>
      <c r="AK206" s="12">
        <f t="shared" si="85"/>
        <v>0</v>
      </c>
      <c r="AL206" s="12">
        <f t="shared" si="86"/>
        <v>0.38435086532499013</v>
      </c>
      <c r="AM206" s="13">
        <f>R206/X206</f>
        <v>0</v>
      </c>
      <c r="AN206" s="13">
        <f>P206/X206</f>
        <v>380.71428571428572</v>
      </c>
      <c r="AO206" s="13">
        <f>S206/X206</f>
        <v>0</v>
      </c>
      <c r="AP206" s="13">
        <f>T206/X206</f>
        <v>0</v>
      </c>
      <c r="AQ206" s="12">
        <f>R206+Q206+P206+J206+H206</f>
        <v>8888</v>
      </c>
      <c r="AR206" s="13">
        <f>AO206+AN206+AM206+AE206+AD206+AC206</f>
        <v>1058.0952380952381</v>
      </c>
      <c r="AS206" s="17" t="s">
        <v>61</v>
      </c>
    </row>
    <row r="207" spans="1:45" x14ac:dyDescent="0.25">
      <c r="A207" s="22">
        <v>45749</v>
      </c>
      <c r="B207" s="10" t="str">
        <f t="shared" si="96"/>
        <v>2025</v>
      </c>
      <c r="C207" s="10" t="str">
        <f t="shared" si="97"/>
        <v>April</v>
      </c>
      <c r="D207" s="10"/>
      <c r="E207" s="11">
        <v>554</v>
      </c>
      <c r="F207" s="12">
        <v>7479</v>
      </c>
      <c r="G207" s="13">
        <v>1083.9130434782608</v>
      </c>
      <c r="H207" s="14" t="s">
        <v>31</v>
      </c>
      <c r="I207" s="6">
        <v>0</v>
      </c>
      <c r="J207" s="6">
        <v>57</v>
      </c>
      <c r="K207" s="6"/>
      <c r="L207" s="6">
        <v>4711</v>
      </c>
      <c r="M207" s="6">
        <v>1681</v>
      </c>
      <c r="N207" s="6">
        <v>3030</v>
      </c>
      <c r="O207" s="6"/>
      <c r="P207" s="6">
        <v>2622</v>
      </c>
      <c r="Q207" s="6">
        <v>0</v>
      </c>
      <c r="R207" s="6">
        <v>0</v>
      </c>
      <c r="S207" s="6">
        <v>0</v>
      </c>
      <c r="T207" s="6">
        <v>0</v>
      </c>
      <c r="U207" s="14" t="s">
        <v>56</v>
      </c>
      <c r="V207" s="14" t="s">
        <v>47</v>
      </c>
      <c r="W207" s="6">
        <v>10</v>
      </c>
      <c r="X207" s="6">
        <v>6.9</v>
      </c>
      <c r="Y207" s="15">
        <v>0.81176470588235294</v>
      </c>
      <c r="Z207" s="16">
        <v>0.69000000000000006</v>
      </c>
      <c r="AA207" s="16"/>
      <c r="AB207" s="16"/>
      <c r="AC207" s="13">
        <v>0</v>
      </c>
      <c r="AD207" s="13">
        <v>0</v>
      </c>
      <c r="AE207" s="13">
        <v>682.75362318840575</v>
      </c>
      <c r="AF207" s="12">
        <f t="shared" si="92"/>
        <v>243.62318840579709</v>
      </c>
      <c r="AG207" s="12">
        <f t="shared" si="81"/>
        <v>439.13043478260869</v>
      </c>
      <c r="AH207" s="12">
        <f t="shared" si="82"/>
        <v>0</v>
      </c>
      <c r="AI207" s="12">
        <f t="shared" si="83"/>
        <v>0.22476266880599011</v>
      </c>
      <c r="AJ207" s="12">
        <f t="shared" si="84"/>
        <v>0.40513437625350984</v>
      </c>
      <c r="AK207" s="12">
        <f t="shared" si="85"/>
        <v>0</v>
      </c>
      <c r="AL207" s="12">
        <f t="shared" si="86"/>
        <v>0.62989704505949995</v>
      </c>
      <c r="AM207" s="13">
        <v>0</v>
      </c>
      <c r="AN207" s="13">
        <v>380</v>
      </c>
      <c r="AO207" s="13">
        <v>0</v>
      </c>
      <c r="AP207" s="13">
        <v>0</v>
      </c>
      <c r="AQ207" s="12">
        <v>7333</v>
      </c>
      <c r="AR207" s="13">
        <v>1062.7536231884058</v>
      </c>
      <c r="AS207" s="17"/>
    </row>
    <row r="208" spans="1:45" x14ac:dyDescent="0.25">
      <c r="A208" s="22">
        <v>45749</v>
      </c>
      <c r="B208" s="10" t="str">
        <f t="shared" si="96"/>
        <v>2025</v>
      </c>
      <c r="C208" s="10" t="str">
        <f t="shared" si="97"/>
        <v>April</v>
      </c>
      <c r="D208" s="10"/>
      <c r="E208" s="11">
        <v>554</v>
      </c>
      <c r="F208" s="12">
        <f>E208*13.5</f>
        <v>7479</v>
      </c>
      <c r="G208" s="14" t="s">
        <v>31</v>
      </c>
      <c r="H208" s="6">
        <v>0</v>
      </c>
      <c r="I208" s="6">
        <v>57</v>
      </c>
      <c r="J208" s="6">
        <f>L208+M208</f>
        <v>4711</v>
      </c>
      <c r="K208" s="6"/>
      <c r="L208" s="6">
        <v>1681</v>
      </c>
      <c r="M208" s="6">
        <v>3030</v>
      </c>
      <c r="N208" s="6">
        <v>0</v>
      </c>
      <c r="O208" s="6"/>
      <c r="P208" s="6">
        <v>2622</v>
      </c>
      <c r="Q208" s="6">
        <v>0</v>
      </c>
      <c r="R208" s="6">
        <v>0</v>
      </c>
      <c r="S208" s="6">
        <v>0</v>
      </c>
      <c r="T208" s="6">
        <v>0</v>
      </c>
      <c r="U208" s="14" t="s">
        <v>56</v>
      </c>
      <c r="V208" s="14" t="s">
        <v>47</v>
      </c>
      <c r="W208" s="6">
        <v>10</v>
      </c>
      <c r="X208" s="6">
        <v>6.9</v>
      </c>
      <c r="Y208" s="15">
        <f>SUM(X208)/(W208*X$2)</f>
        <v>0.115</v>
      </c>
      <c r="Z208" s="16">
        <f>X208/W208</f>
        <v>0.69000000000000006</v>
      </c>
      <c r="AA208" s="16"/>
      <c r="AB208" s="16"/>
      <c r="AC208" s="13">
        <f>Q208/X208</f>
        <v>0</v>
      </c>
      <c r="AD208" s="13">
        <f>H208/X208</f>
        <v>0</v>
      </c>
      <c r="AE208" s="13">
        <f>J208/X208</f>
        <v>682.75362318840575</v>
      </c>
      <c r="AF208" s="12">
        <f t="shared" si="92"/>
        <v>439.13043478260869</v>
      </c>
      <c r="AG208" s="12"/>
      <c r="AH208" s="12">
        <f t="shared" si="82"/>
        <v>0</v>
      </c>
      <c r="AI208" s="12">
        <f t="shared" si="83"/>
        <v>0.40513437625350984</v>
      </c>
      <c r="AJ208" s="12">
        <f t="shared" si="84"/>
        <v>0</v>
      </c>
      <c r="AK208" s="12">
        <f t="shared" si="85"/>
        <v>0</v>
      </c>
      <c r="AL208" s="12">
        <f t="shared" si="86"/>
        <v>0.40513437625350984</v>
      </c>
      <c r="AM208" s="13">
        <f>R208/X208</f>
        <v>0</v>
      </c>
      <c r="AN208" s="13">
        <f>P208/X208</f>
        <v>380</v>
      </c>
      <c r="AO208" s="13">
        <f>S208/X208</f>
        <v>0</v>
      </c>
      <c r="AP208" s="13">
        <f>T208/X208</f>
        <v>0</v>
      </c>
      <c r="AQ208" s="12">
        <f>R208+Q208+P208+J208+H208</f>
        <v>7333</v>
      </c>
      <c r="AR208" s="13">
        <f>AO208+AN208+AM208+AE208+AD208+AC208</f>
        <v>1062.7536231884058</v>
      </c>
      <c r="AS208" s="17"/>
    </row>
    <row r="209" spans="1:45" x14ac:dyDescent="0.25">
      <c r="A209" s="22">
        <v>45756</v>
      </c>
      <c r="B209" s="10" t="str">
        <f t="shared" si="96"/>
        <v>2025</v>
      </c>
      <c r="C209" s="10" t="str">
        <f t="shared" si="97"/>
        <v>April</v>
      </c>
      <c r="D209" s="10"/>
      <c r="E209" s="11">
        <v>491</v>
      </c>
      <c r="F209" s="12">
        <v>6628.5</v>
      </c>
      <c r="G209" s="13">
        <v>908.01369863013701</v>
      </c>
      <c r="H209" s="14" t="s">
        <v>31</v>
      </c>
      <c r="I209" s="6">
        <v>0</v>
      </c>
      <c r="J209" s="6">
        <v>57</v>
      </c>
      <c r="K209" s="6"/>
      <c r="L209" s="6">
        <v>3205</v>
      </c>
      <c r="M209" s="6">
        <v>1745</v>
      </c>
      <c r="N209" s="6">
        <v>1460</v>
      </c>
      <c r="O209" s="6"/>
      <c r="P209" s="6">
        <v>1460</v>
      </c>
      <c r="Q209" s="6">
        <v>0</v>
      </c>
      <c r="R209" s="6">
        <v>2190</v>
      </c>
      <c r="S209" s="6">
        <v>0</v>
      </c>
      <c r="T209" s="6">
        <v>0</v>
      </c>
      <c r="U209" s="14" t="s">
        <v>56</v>
      </c>
      <c r="V209" s="14" t="s">
        <v>47</v>
      </c>
      <c r="W209" s="6">
        <v>10</v>
      </c>
      <c r="X209" s="6">
        <v>7.3</v>
      </c>
      <c r="Y209" s="15">
        <v>0.85882352941176465</v>
      </c>
      <c r="Z209" s="16">
        <v>0.73</v>
      </c>
      <c r="AA209" s="16"/>
      <c r="AB209" s="16"/>
      <c r="AC209" s="13">
        <v>0</v>
      </c>
      <c r="AD209" s="13">
        <v>0</v>
      </c>
      <c r="AE209" s="13">
        <v>439.04109589041099</v>
      </c>
      <c r="AF209" s="12">
        <f t="shared" si="92"/>
        <v>239.04109589041096</v>
      </c>
      <c r="AG209" s="12">
        <f t="shared" si="81"/>
        <v>200</v>
      </c>
      <c r="AH209" s="12">
        <f t="shared" si="82"/>
        <v>0</v>
      </c>
      <c r="AI209" s="12">
        <f t="shared" si="83"/>
        <v>0.26325714716753412</v>
      </c>
      <c r="AJ209" s="12">
        <f t="shared" si="84"/>
        <v>0.22026099419174774</v>
      </c>
      <c r="AK209" s="12">
        <f t="shared" si="85"/>
        <v>0</v>
      </c>
      <c r="AL209" s="12">
        <f t="shared" si="86"/>
        <v>0.48351814135928184</v>
      </c>
      <c r="AM209" s="13">
        <v>300</v>
      </c>
      <c r="AN209" s="13">
        <v>200</v>
      </c>
      <c r="AO209" s="13">
        <v>0</v>
      </c>
      <c r="AP209" s="13">
        <v>0</v>
      </c>
      <c r="AQ209" s="12">
        <v>6855</v>
      </c>
      <c r="AR209" s="13">
        <v>939.04109589041104</v>
      </c>
      <c r="AS209" s="17" t="s">
        <v>62</v>
      </c>
    </row>
    <row r="210" spans="1:45" x14ac:dyDescent="0.25">
      <c r="A210" s="22">
        <v>45756</v>
      </c>
      <c r="B210" s="10" t="str">
        <f t="shared" si="96"/>
        <v>2025</v>
      </c>
      <c r="C210" s="10" t="str">
        <f t="shared" si="97"/>
        <v>April</v>
      </c>
      <c r="D210" s="10"/>
      <c r="E210" s="11">
        <v>491</v>
      </c>
      <c r="F210" s="12">
        <f>E210*13.5</f>
        <v>6628.5</v>
      </c>
      <c r="G210" s="14" t="s">
        <v>31</v>
      </c>
      <c r="H210" s="6">
        <v>0</v>
      </c>
      <c r="I210" s="6">
        <v>57</v>
      </c>
      <c r="J210" s="6">
        <f>L210+M210</f>
        <v>3205</v>
      </c>
      <c r="K210" s="6"/>
      <c r="L210" s="6">
        <v>1745</v>
      </c>
      <c r="M210" s="6">
        <v>1460</v>
      </c>
      <c r="N210" s="6">
        <v>0</v>
      </c>
      <c r="O210" s="6"/>
      <c r="P210" s="6">
        <v>1460</v>
      </c>
      <c r="Q210" s="6">
        <v>0</v>
      </c>
      <c r="R210" s="6">
        <v>2190</v>
      </c>
      <c r="S210" s="6">
        <v>0</v>
      </c>
      <c r="T210" s="6">
        <v>0</v>
      </c>
      <c r="U210" s="14" t="s">
        <v>56</v>
      </c>
      <c r="V210" s="14" t="s">
        <v>47</v>
      </c>
      <c r="W210" s="6">
        <v>10</v>
      </c>
      <c r="X210" s="6">
        <v>7.3</v>
      </c>
      <c r="Y210" s="15">
        <f>SUM(X210)/(W210*X$2)</f>
        <v>0.12166666666666666</v>
      </c>
      <c r="Z210" s="16">
        <f>X210/W210</f>
        <v>0.73</v>
      </c>
      <c r="AA210" s="16"/>
      <c r="AB210" s="16"/>
      <c r="AC210" s="13">
        <f>Q210/X210</f>
        <v>0</v>
      </c>
      <c r="AD210" s="13">
        <f>H210/X210</f>
        <v>0</v>
      </c>
      <c r="AE210" s="13">
        <f>J210/X210</f>
        <v>439.04109589041099</v>
      </c>
      <c r="AF210" s="12">
        <f t="shared" si="92"/>
        <v>200</v>
      </c>
      <c r="AG210" s="12"/>
      <c r="AH210" s="12">
        <f t="shared" si="82"/>
        <v>0</v>
      </c>
      <c r="AI210" s="12">
        <f t="shared" si="83"/>
        <v>0.22026099419174774</v>
      </c>
      <c r="AJ210" s="12">
        <f t="shared" si="84"/>
        <v>0</v>
      </c>
      <c r="AK210" s="12">
        <f t="shared" si="85"/>
        <v>0</v>
      </c>
      <c r="AL210" s="12">
        <f t="shared" si="86"/>
        <v>0.22026099419174774</v>
      </c>
      <c r="AM210" s="13">
        <f>R210/X210</f>
        <v>300</v>
      </c>
      <c r="AN210" s="13">
        <f>P210/X210</f>
        <v>200</v>
      </c>
      <c r="AO210" s="13">
        <f>S210/X210</f>
        <v>0</v>
      </c>
      <c r="AP210" s="13">
        <f>T210/X210</f>
        <v>0</v>
      </c>
      <c r="AQ210" s="12">
        <f>R210+Q210+P210+J210+H210</f>
        <v>6855</v>
      </c>
      <c r="AR210" s="13">
        <f>AO210+AN210+AM210+AE210+AD210+AC210</f>
        <v>939.04109589041104</v>
      </c>
      <c r="AS210" s="17" t="s">
        <v>62</v>
      </c>
    </row>
    <row r="211" spans="1:45" x14ac:dyDescent="0.25">
      <c r="A211" s="22">
        <v>45758</v>
      </c>
      <c r="B211" s="10" t="str">
        <f t="shared" si="96"/>
        <v>2025</v>
      </c>
      <c r="C211" s="10" t="str">
        <f t="shared" si="97"/>
        <v>April</v>
      </c>
      <c r="D211" s="10"/>
      <c r="E211" s="11">
        <v>607</v>
      </c>
      <c r="F211" s="12">
        <v>8194.5</v>
      </c>
      <c r="G211" s="13">
        <v>975.53571428571422</v>
      </c>
      <c r="H211" s="14" t="s">
        <v>31</v>
      </c>
      <c r="I211" s="6">
        <v>0</v>
      </c>
      <c r="J211" s="6">
        <v>57</v>
      </c>
      <c r="K211" s="6"/>
      <c r="L211" s="6">
        <v>5274</v>
      </c>
      <c r="M211" s="6">
        <v>2362</v>
      </c>
      <c r="N211" s="6">
        <v>2912</v>
      </c>
      <c r="O211" s="6"/>
      <c r="P211" s="6">
        <v>3200</v>
      </c>
      <c r="Q211" s="6">
        <v>0</v>
      </c>
      <c r="R211" s="6">
        <v>0</v>
      </c>
      <c r="S211" s="6">
        <v>0</v>
      </c>
      <c r="T211" s="6">
        <v>0</v>
      </c>
      <c r="U211" s="14" t="s">
        <v>56</v>
      </c>
      <c r="V211" s="14" t="s">
        <v>47</v>
      </c>
      <c r="W211" s="6">
        <v>10</v>
      </c>
      <c r="X211" s="6">
        <v>8.4</v>
      </c>
      <c r="Y211" s="15">
        <v>0.9882352941176471</v>
      </c>
      <c r="Z211" s="16">
        <v>0.84000000000000008</v>
      </c>
      <c r="AA211" s="16"/>
      <c r="AB211" s="16"/>
      <c r="AC211" s="13">
        <v>0</v>
      </c>
      <c r="AD211" s="13">
        <v>0</v>
      </c>
      <c r="AE211" s="13">
        <v>627.85714285714278</v>
      </c>
      <c r="AF211" s="12">
        <f t="shared" ref="AF211:AF302" si="98">IF(X211="","",IF(X211=0,"",M211/X211))</f>
        <v>281.1904761904762</v>
      </c>
      <c r="AG211" s="12">
        <f t="shared" ref="AG211:AG302" si="99">IF(X211="","",IF(X211=0,"",N211/X211))</f>
        <v>346.66666666666663</v>
      </c>
      <c r="AH211" s="12">
        <f t="shared" ref="AH211:AH302" si="100">IF(X211="","",IF(X211=0,"",O211/X211))</f>
        <v>0</v>
      </c>
      <c r="AI211" s="12">
        <f t="shared" ref="AI211:AI302" si="101">IF(X211="","",IF(X211=0,"",M211/F211))</f>
        <v>0.28824211361278906</v>
      </c>
      <c r="AJ211" s="12">
        <f t="shared" ref="AJ211:AJ302" si="102">IF(X211="","",IF(X211=0,"",N211/F211))</f>
        <v>0.35536030264201601</v>
      </c>
      <c r="AK211" s="12">
        <f t="shared" ref="AK211:AK302" si="103">IF(X211="","",IF(X211=0,"",O211/F211))</f>
        <v>0</v>
      </c>
      <c r="AL211" s="12">
        <f t="shared" ref="AL211:AL302" si="104">AI211+AJ211+AK211</f>
        <v>0.64360241625480508</v>
      </c>
      <c r="AM211" s="13">
        <v>0</v>
      </c>
      <c r="AN211" s="13">
        <v>380.95238095238096</v>
      </c>
      <c r="AO211" s="13">
        <v>0</v>
      </c>
      <c r="AP211" s="13">
        <v>0</v>
      </c>
      <c r="AQ211" s="12">
        <v>8474</v>
      </c>
      <c r="AR211" s="13">
        <v>1008.8095238095237</v>
      </c>
      <c r="AS211" s="17"/>
    </row>
    <row r="212" spans="1:45" x14ac:dyDescent="0.25">
      <c r="A212" s="22">
        <v>45758</v>
      </c>
      <c r="B212" s="10" t="str">
        <f t="shared" si="96"/>
        <v>2025</v>
      </c>
      <c r="C212" s="10" t="str">
        <f t="shared" si="97"/>
        <v>April</v>
      </c>
      <c r="D212" s="10"/>
      <c r="E212" s="11">
        <v>607</v>
      </c>
      <c r="F212" s="12">
        <f>E212*13.5</f>
        <v>8194.5</v>
      </c>
      <c r="G212" s="14" t="s">
        <v>31</v>
      </c>
      <c r="H212" s="6">
        <v>0</v>
      </c>
      <c r="I212" s="6">
        <v>57</v>
      </c>
      <c r="J212" s="6">
        <f>L212+M212</f>
        <v>5274</v>
      </c>
      <c r="K212" s="6"/>
      <c r="L212" s="6">
        <v>2362</v>
      </c>
      <c r="M212" s="6">
        <v>2912</v>
      </c>
      <c r="N212" s="6">
        <v>0</v>
      </c>
      <c r="O212" s="6"/>
      <c r="P212" s="6">
        <v>3200</v>
      </c>
      <c r="Q212" s="6">
        <v>0</v>
      </c>
      <c r="R212" s="6">
        <v>0</v>
      </c>
      <c r="S212" s="6">
        <v>0</v>
      </c>
      <c r="T212" s="6">
        <v>0</v>
      </c>
      <c r="U212" s="14" t="s">
        <v>56</v>
      </c>
      <c r="V212" s="14" t="s">
        <v>47</v>
      </c>
      <c r="W212" s="6">
        <v>10</v>
      </c>
      <c r="X212" s="6">
        <v>8.4</v>
      </c>
      <c r="Y212" s="15">
        <f>SUM(X212)/(W212*X$2)</f>
        <v>0.14000000000000001</v>
      </c>
      <c r="Z212" s="16">
        <f>X212/W212</f>
        <v>0.84000000000000008</v>
      </c>
      <c r="AA212" s="16"/>
      <c r="AB212" s="16"/>
      <c r="AC212" s="13">
        <f>Q212/X212</f>
        <v>0</v>
      </c>
      <c r="AD212" s="13">
        <f>H212/X212</f>
        <v>0</v>
      </c>
      <c r="AE212" s="13">
        <f>J212/X212</f>
        <v>627.85714285714278</v>
      </c>
      <c r="AF212" s="12">
        <f t="shared" si="98"/>
        <v>346.66666666666663</v>
      </c>
      <c r="AG212" s="12"/>
      <c r="AH212" s="12">
        <f t="shared" si="100"/>
        <v>0</v>
      </c>
      <c r="AI212" s="12">
        <f t="shared" si="101"/>
        <v>0.35536030264201601</v>
      </c>
      <c r="AJ212" s="12">
        <f t="shared" si="102"/>
        <v>0</v>
      </c>
      <c r="AK212" s="12">
        <f t="shared" si="103"/>
        <v>0</v>
      </c>
      <c r="AL212" s="12">
        <f t="shared" si="104"/>
        <v>0.35536030264201601</v>
      </c>
      <c r="AM212" s="13">
        <f>R212/X212</f>
        <v>0</v>
      </c>
      <c r="AN212" s="13">
        <f>P212/X212</f>
        <v>380.95238095238096</v>
      </c>
      <c r="AO212" s="13">
        <f>S212/X212</f>
        <v>0</v>
      </c>
      <c r="AP212" s="13">
        <f>T212/X212</f>
        <v>0</v>
      </c>
      <c r="AQ212" s="12">
        <f>R212+Q212+P212+J212+H212</f>
        <v>8474</v>
      </c>
      <c r="AR212" s="13">
        <f>AO212+AN212+AM212+AE212+AD212+AC212</f>
        <v>1008.8095238095237</v>
      </c>
      <c r="AS212" s="17"/>
    </row>
    <row r="213" spans="1:45" x14ac:dyDescent="0.25">
      <c r="A213" s="22">
        <v>45761</v>
      </c>
      <c r="B213" s="10" t="str">
        <f t="shared" si="96"/>
        <v>2025</v>
      </c>
      <c r="C213" s="10" t="str">
        <f t="shared" si="97"/>
        <v>April</v>
      </c>
      <c r="D213" s="10"/>
      <c r="E213" s="11">
        <v>532</v>
      </c>
      <c r="F213" s="12">
        <v>7182</v>
      </c>
      <c r="G213" s="13">
        <v>865.30120481927702</v>
      </c>
      <c r="H213" s="14" t="s">
        <v>31</v>
      </c>
      <c r="I213" s="6">
        <v>0</v>
      </c>
      <c r="J213" s="6">
        <v>57</v>
      </c>
      <c r="K213" s="6"/>
      <c r="L213" s="6">
        <v>3820</v>
      </c>
      <c r="M213" s="6">
        <v>1532</v>
      </c>
      <c r="N213" s="6">
        <v>2288</v>
      </c>
      <c r="O213" s="6"/>
      <c r="P213" s="6">
        <v>1600</v>
      </c>
      <c r="Q213" s="6">
        <v>0</v>
      </c>
      <c r="R213" s="6">
        <v>2511</v>
      </c>
      <c r="S213" s="6">
        <v>0</v>
      </c>
      <c r="T213" s="6">
        <v>0</v>
      </c>
      <c r="U213" s="14" t="s">
        <v>56</v>
      </c>
      <c r="V213" s="14" t="s">
        <v>47</v>
      </c>
      <c r="W213" s="6">
        <v>10</v>
      </c>
      <c r="X213" s="6">
        <v>8.3000000000000007</v>
      </c>
      <c r="Y213" s="15">
        <v>0.9764705882352942</v>
      </c>
      <c r="Z213" s="16">
        <v>0.83000000000000007</v>
      </c>
      <c r="AA213" s="16"/>
      <c r="AB213" s="16"/>
      <c r="AC213" s="13">
        <v>0</v>
      </c>
      <c r="AD213" s="13">
        <v>0</v>
      </c>
      <c r="AE213" s="13">
        <v>460.24096385542163</v>
      </c>
      <c r="AF213" s="12">
        <f t="shared" si="98"/>
        <v>184.57831325301203</v>
      </c>
      <c r="AG213" s="12">
        <f t="shared" si="99"/>
        <v>275.6626506024096</v>
      </c>
      <c r="AH213" s="12">
        <f t="shared" si="100"/>
        <v>0</v>
      </c>
      <c r="AI213" s="12">
        <f t="shared" si="101"/>
        <v>0.21331105541631856</v>
      </c>
      <c r="AJ213" s="12">
        <f t="shared" si="102"/>
        <v>0.3185742133110554</v>
      </c>
      <c r="AK213" s="12">
        <f t="shared" si="103"/>
        <v>0</v>
      </c>
      <c r="AL213" s="12">
        <f t="shared" si="104"/>
        <v>0.53188526872737396</v>
      </c>
      <c r="AM213" s="13">
        <v>302.53012048192767</v>
      </c>
      <c r="AN213" s="13">
        <v>192.77108433734938</v>
      </c>
      <c r="AO213" s="13">
        <v>0</v>
      </c>
      <c r="AP213" s="13">
        <v>0</v>
      </c>
      <c r="AQ213" s="12">
        <v>7931</v>
      </c>
      <c r="AR213" s="13">
        <v>955.54216867469859</v>
      </c>
      <c r="AS213" s="17"/>
    </row>
    <row r="214" spans="1:45" x14ac:dyDescent="0.25">
      <c r="A214" s="22">
        <v>45761</v>
      </c>
      <c r="B214" s="10" t="str">
        <f t="shared" si="96"/>
        <v>2025</v>
      </c>
      <c r="C214" s="10" t="str">
        <f t="shared" si="97"/>
        <v>April</v>
      </c>
      <c r="D214" s="10"/>
      <c r="E214" s="11">
        <v>532</v>
      </c>
      <c r="F214" s="12">
        <f>E214*13.5</f>
        <v>7182</v>
      </c>
      <c r="G214" s="14" t="s">
        <v>31</v>
      </c>
      <c r="H214" s="6">
        <v>0</v>
      </c>
      <c r="I214" s="6">
        <v>57</v>
      </c>
      <c r="J214" s="6">
        <f>L214+M214</f>
        <v>3820</v>
      </c>
      <c r="K214" s="6"/>
      <c r="L214" s="6">
        <v>1532</v>
      </c>
      <c r="M214" s="6">
        <v>2288</v>
      </c>
      <c r="N214" s="6">
        <v>0</v>
      </c>
      <c r="O214" s="6"/>
      <c r="P214" s="6">
        <v>1600</v>
      </c>
      <c r="Q214" s="6">
        <v>0</v>
      </c>
      <c r="R214" s="6">
        <v>2511</v>
      </c>
      <c r="S214" s="6">
        <v>0</v>
      </c>
      <c r="T214" s="6">
        <v>0</v>
      </c>
      <c r="U214" s="14" t="s">
        <v>56</v>
      </c>
      <c r="V214" s="14" t="s">
        <v>47</v>
      </c>
      <c r="W214" s="6">
        <v>10</v>
      </c>
      <c r="X214" s="6">
        <v>8.3000000000000007</v>
      </c>
      <c r="Y214" s="15">
        <f>SUM(X214)/(W214*X$2)</f>
        <v>0.13833333333333334</v>
      </c>
      <c r="Z214" s="16">
        <f>X214/W214</f>
        <v>0.83000000000000007</v>
      </c>
      <c r="AA214" s="16"/>
      <c r="AB214" s="16"/>
      <c r="AC214" s="13">
        <f>Q214/X214</f>
        <v>0</v>
      </c>
      <c r="AD214" s="13">
        <f>H214/X214</f>
        <v>0</v>
      </c>
      <c r="AE214" s="13">
        <f>J214/X214</f>
        <v>460.24096385542163</v>
      </c>
      <c r="AF214" s="12">
        <f t="shared" si="98"/>
        <v>275.6626506024096</v>
      </c>
      <c r="AG214" s="12"/>
      <c r="AH214" s="12">
        <f t="shared" si="100"/>
        <v>0</v>
      </c>
      <c r="AI214" s="12">
        <f t="shared" si="101"/>
        <v>0.3185742133110554</v>
      </c>
      <c r="AJ214" s="12">
        <f t="shared" si="102"/>
        <v>0</v>
      </c>
      <c r="AK214" s="12">
        <f t="shared" si="103"/>
        <v>0</v>
      </c>
      <c r="AL214" s="12">
        <f t="shared" si="104"/>
        <v>0.3185742133110554</v>
      </c>
      <c r="AM214" s="13">
        <f>R214/X214</f>
        <v>302.53012048192767</v>
      </c>
      <c r="AN214" s="13">
        <f>P214/X214</f>
        <v>192.77108433734938</v>
      </c>
      <c r="AO214" s="13">
        <f>S214/X214</f>
        <v>0</v>
      </c>
      <c r="AP214" s="13">
        <f>T214/X214</f>
        <v>0</v>
      </c>
      <c r="AQ214" s="12">
        <f>R214+Q214+P214+J214+H214</f>
        <v>7931</v>
      </c>
      <c r="AR214" s="13">
        <f>AO214+AN214+AM214+AE214+AD214+AC214</f>
        <v>955.54216867469859</v>
      </c>
      <c r="AS214" s="17"/>
    </row>
    <row r="215" spans="1:45" x14ac:dyDescent="0.25">
      <c r="A215" s="22">
        <v>45762</v>
      </c>
      <c r="B215" s="10" t="str">
        <f t="shared" si="96"/>
        <v>2025</v>
      </c>
      <c r="C215" s="10" t="str">
        <f t="shared" si="97"/>
        <v>April</v>
      </c>
      <c r="D215" s="10"/>
      <c r="E215" s="11"/>
      <c r="F215" s="12"/>
      <c r="G215" s="14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14"/>
      <c r="V215" s="14"/>
      <c r="W215" s="6"/>
      <c r="X215" s="6"/>
      <c r="Y215" s="15"/>
      <c r="Z215" s="16">
        <v>0</v>
      </c>
      <c r="AA215" s="16"/>
      <c r="AB215" s="16"/>
      <c r="AC215" s="13"/>
      <c r="AD215" s="13"/>
      <c r="AE215" s="13"/>
      <c r="AF215" s="12"/>
      <c r="AG215" s="12"/>
      <c r="AH215" s="12"/>
      <c r="AI215" s="12"/>
      <c r="AJ215" s="12"/>
      <c r="AK215" s="12"/>
      <c r="AL215" s="12"/>
      <c r="AM215" s="13"/>
      <c r="AN215" s="13"/>
      <c r="AO215" s="13"/>
      <c r="AP215" s="13"/>
      <c r="AQ215" s="12"/>
      <c r="AR215" s="13"/>
      <c r="AS215" s="17"/>
    </row>
    <row r="216" spans="1:45" x14ac:dyDescent="0.25">
      <c r="A216" s="22">
        <v>45763</v>
      </c>
      <c r="B216" s="10" t="str">
        <f t="shared" si="96"/>
        <v>2025</v>
      </c>
      <c r="C216" s="10" t="str">
        <f t="shared" si="97"/>
        <v>April</v>
      </c>
      <c r="D216" s="10"/>
      <c r="E216" s="11"/>
      <c r="F216" s="12"/>
      <c r="G216" s="1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14"/>
      <c r="V216" s="14"/>
      <c r="W216" s="6"/>
      <c r="X216" s="6"/>
      <c r="Y216" s="15"/>
      <c r="Z216" s="16">
        <v>0</v>
      </c>
      <c r="AA216" s="16"/>
      <c r="AB216" s="16"/>
      <c r="AC216" s="13"/>
      <c r="AD216" s="13"/>
      <c r="AE216" s="13"/>
      <c r="AF216" s="12"/>
      <c r="AG216" s="12"/>
      <c r="AH216" s="12"/>
      <c r="AI216" s="12"/>
      <c r="AJ216" s="12"/>
      <c r="AK216" s="12"/>
      <c r="AL216" s="12"/>
      <c r="AM216" s="13"/>
      <c r="AN216" s="13"/>
      <c r="AO216" s="13"/>
      <c r="AP216" s="13"/>
      <c r="AQ216" s="12"/>
      <c r="AR216" s="13"/>
      <c r="AS216" s="17"/>
    </row>
    <row r="217" spans="1:45" x14ac:dyDescent="0.25">
      <c r="A217" s="22">
        <v>45764</v>
      </c>
      <c r="B217" s="10" t="str">
        <f t="shared" si="96"/>
        <v>2025</v>
      </c>
      <c r="C217" s="10" t="str">
        <f t="shared" si="97"/>
        <v>April</v>
      </c>
      <c r="D217" s="10"/>
      <c r="E217" s="11"/>
      <c r="F217" s="12"/>
      <c r="G217" s="1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14"/>
      <c r="V217" s="14"/>
      <c r="W217" s="6"/>
      <c r="X217" s="6"/>
      <c r="Y217" s="15"/>
      <c r="Z217" s="16">
        <v>0</v>
      </c>
      <c r="AA217" s="16"/>
      <c r="AB217" s="16"/>
      <c r="AC217" s="13"/>
      <c r="AD217" s="13"/>
      <c r="AE217" s="13"/>
      <c r="AF217" s="12"/>
      <c r="AG217" s="12"/>
      <c r="AH217" s="12"/>
      <c r="AI217" s="12"/>
      <c r="AJ217" s="12"/>
      <c r="AK217" s="12"/>
      <c r="AL217" s="12"/>
      <c r="AM217" s="13"/>
      <c r="AN217" s="13"/>
      <c r="AO217" s="13"/>
      <c r="AP217" s="13"/>
      <c r="AQ217" s="12"/>
      <c r="AR217" s="13"/>
      <c r="AS217" s="17"/>
    </row>
    <row r="218" spans="1:45" x14ac:dyDescent="0.25">
      <c r="A218" s="22">
        <v>45765</v>
      </c>
      <c r="B218" s="10" t="str">
        <f t="shared" si="96"/>
        <v>2025</v>
      </c>
      <c r="C218" s="10" t="str">
        <f t="shared" si="97"/>
        <v>April</v>
      </c>
      <c r="D218" s="10"/>
      <c r="E218" s="11">
        <v>495</v>
      </c>
      <c r="F218" s="12">
        <v>6682.5</v>
      </c>
      <c r="G218" s="13">
        <v>1095.4918032786886</v>
      </c>
      <c r="H218" s="14" t="s">
        <v>63</v>
      </c>
      <c r="I218" s="6">
        <v>0</v>
      </c>
      <c r="J218" s="6">
        <v>57</v>
      </c>
      <c r="K218" s="6"/>
      <c r="L218" s="6">
        <v>4386</v>
      </c>
      <c r="M218" s="6">
        <v>2063</v>
      </c>
      <c r="N218" s="6">
        <v>2323</v>
      </c>
      <c r="O218" s="6"/>
      <c r="P218" s="6">
        <v>2318</v>
      </c>
      <c r="Q218" s="6">
        <v>0</v>
      </c>
      <c r="R218" s="6">
        <v>0</v>
      </c>
      <c r="S218" s="6">
        <v>0</v>
      </c>
      <c r="T218" s="6">
        <v>0</v>
      </c>
      <c r="U218" s="14" t="s">
        <v>56</v>
      </c>
      <c r="V218" s="14" t="s">
        <v>47</v>
      </c>
      <c r="W218" s="6">
        <v>10</v>
      </c>
      <c r="X218" s="6">
        <v>6.1</v>
      </c>
      <c r="Y218" s="15">
        <v>0.71764705882352942</v>
      </c>
      <c r="Z218" s="16">
        <v>0.61</v>
      </c>
      <c r="AA218" s="16"/>
      <c r="AB218" s="16"/>
      <c r="AC218" s="13">
        <v>0</v>
      </c>
      <c r="AD218" s="13">
        <v>0</v>
      </c>
      <c r="AE218" s="13">
        <v>719.01639344262298</v>
      </c>
      <c r="AF218" s="12">
        <f t="shared" si="98"/>
        <v>338.19672131147541</v>
      </c>
      <c r="AG218" s="12">
        <f t="shared" si="99"/>
        <v>380.81967213114757</v>
      </c>
      <c r="AH218" s="12">
        <f t="shared" si="100"/>
        <v>0</v>
      </c>
      <c r="AI218" s="12">
        <f t="shared" si="101"/>
        <v>0.30871679760568649</v>
      </c>
      <c r="AJ218" s="12">
        <f t="shared" si="102"/>
        <v>0.3476243920688365</v>
      </c>
      <c r="AK218" s="12">
        <f t="shared" si="103"/>
        <v>0</v>
      </c>
      <c r="AL218" s="12">
        <f t="shared" si="104"/>
        <v>0.65634118967452304</v>
      </c>
      <c r="AM218" s="13">
        <v>0</v>
      </c>
      <c r="AN218" s="13">
        <v>380</v>
      </c>
      <c r="AO218" s="13">
        <v>0</v>
      </c>
      <c r="AP218" s="13">
        <v>0</v>
      </c>
      <c r="AQ218" s="12">
        <v>6704</v>
      </c>
      <c r="AR218" s="13">
        <v>1099.016393442623</v>
      </c>
      <c r="AS218" s="17" t="s">
        <v>64</v>
      </c>
    </row>
    <row r="219" spans="1:45" x14ac:dyDescent="0.25">
      <c r="A219" s="22">
        <v>45765</v>
      </c>
      <c r="B219" s="10" t="str">
        <f t="shared" si="96"/>
        <v>2025</v>
      </c>
      <c r="C219" s="10" t="str">
        <f t="shared" si="97"/>
        <v>April</v>
      </c>
      <c r="D219" s="10"/>
      <c r="E219" s="11">
        <v>495</v>
      </c>
      <c r="F219" s="12">
        <f>E219*13.5</f>
        <v>6682.5</v>
      </c>
      <c r="G219" s="14" t="s">
        <v>63</v>
      </c>
      <c r="H219" s="6">
        <v>0</v>
      </c>
      <c r="I219" s="6">
        <v>57</v>
      </c>
      <c r="J219" s="6">
        <f>L219+M219</f>
        <v>4386</v>
      </c>
      <c r="K219" s="6"/>
      <c r="L219" s="6">
        <v>2063</v>
      </c>
      <c r="M219" s="6">
        <v>2323</v>
      </c>
      <c r="N219" s="6">
        <v>0</v>
      </c>
      <c r="O219" s="6"/>
      <c r="P219" s="6">
        <v>2318</v>
      </c>
      <c r="Q219" s="6">
        <v>0</v>
      </c>
      <c r="R219" s="6">
        <v>0</v>
      </c>
      <c r="S219" s="6">
        <v>0</v>
      </c>
      <c r="T219" s="6">
        <v>0</v>
      </c>
      <c r="U219" s="14" t="s">
        <v>56</v>
      </c>
      <c r="V219" s="14" t="s">
        <v>47</v>
      </c>
      <c r="W219" s="6">
        <v>10</v>
      </c>
      <c r="X219" s="6">
        <v>6.1</v>
      </c>
      <c r="Y219" s="15">
        <f>SUM(X219)/(W219*X$2)</f>
        <v>0.10166666666666666</v>
      </c>
      <c r="Z219" s="16">
        <f>X219/W219</f>
        <v>0.61</v>
      </c>
      <c r="AA219" s="16"/>
      <c r="AB219" s="16"/>
      <c r="AC219" s="13">
        <f>Q219/X219</f>
        <v>0</v>
      </c>
      <c r="AD219" s="13">
        <f>H219/X219</f>
        <v>0</v>
      </c>
      <c r="AE219" s="13">
        <f>J219/X219</f>
        <v>719.01639344262298</v>
      </c>
      <c r="AF219" s="12">
        <f t="shared" si="98"/>
        <v>380.81967213114757</v>
      </c>
      <c r="AG219" s="12"/>
      <c r="AH219" s="12">
        <f t="shared" si="100"/>
        <v>0</v>
      </c>
      <c r="AI219" s="12">
        <f t="shared" si="101"/>
        <v>0.3476243920688365</v>
      </c>
      <c r="AJ219" s="12">
        <f t="shared" si="102"/>
        <v>0</v>
      </c>
      <c r="AK219" s="12">
        <f t="shared" si="103"/>
        <v>0</v>
      </c>
      <c r="AL219" s="12">
        <f t="shared" si="104"/>
        <v>0.3476243920688365</v>
      </c>
      <c r="AM219" s="13">
        <f>R219/X219</f>
        <v>0</v>
      </c>
      <c r="AN219" s="13">
        <f>P219/X219</f>
        <v>380</v>
      </c>
      <c r="AO219" s="13">
        <f>S219/X219</f>
        <v>0</v>
      </c>
      <c r="AP219" s="13">
        <f>T219/X219</f>
        <v>0</v>
      </c>
      <c r="AQ219" s="12">
        <f>R219+Q219+P219+J219+H219</f>
        <v>6704</v>
      </c>
      <c r="AR219" s="13">
        <f>AO219+AN219+AM219+AE219+AD219+AC219</f>
        <v>1099.016393442623</v>
      </c>
      <c r="AS219" s="17" t="s">
        <v>64</v>
      </c>
    </row>
    <row r="220" spans="1:45" x14ac:dyDescent="0.25">
      <c r="A220" s="22">
        <v>45771</v>
      </c>
      <c r="B220" s="10" t="str">
        <f t="shared" si="96"/>
        <v>2025</v>
      </c>
      <c r="C220" s="10" t="str">
        <f t="shared" si="97"/>
        <v>April</v>
      </c>
      <c r="D220" s="10"/>
      <c r="E220" s="11">
        <v>321</v>
      </c>
      <c r="F220" s="12">
        <v>4333.5</v>
      </c>
      <c r="G220" s="13">
        <v>963</v>
      </c>
      <c r="H220" s="14" t="s">
        <v>31</v>
      </c>
      <c r="I220" s="6">
        <v>0</v>
      </c>
      <c r="J220" s="6">
        <v>57</v>
      </c>
      <c r="K220" s="6"/>
      <c r="L220" s="6">
        <v>2582</v>
      </c>
      <c r="M220" s="6">
        <v>1559</v>
      </c>
      <c r="N220" s="6">
        <v>1023</v>
      </c>
      <c r="O220" s="6"/>
      <c r="P220" s="6">
        <v>900</v>
      </c>
      <c r="Q220" s="6">
        <v>0</v>
      </c>
      <c r="R220" s="6">
        <v>723</v>
      </c>
      <c r="S220" s="6">
        <v>0</v>
      </c>
      <c r="T220" s="6">
        <v>0</v>
      </c>
      <c r="U220" s="14" t="s">
        <v>56</v>
      </c>
      <c r="V220" s="14" t="s">
        <v>57</v>
      </c>
      <c r="W220" s="6">
        <v>10</v>
      </c>
      <c r="X220" s="6">
        <v>4.5</v>
      </c>
      <c r="Y220" s="15">
        <v>0.52941176470588236</v>
      </c>
      <c r="Z220" s="16">
        <v>0.45</v>
      </c>
      <c r="AA220" s="16"/>
      <c r="AB220" s="16"/>
      <c r="AC220" s="13">
        <v>0</v>
      </c>
      <c r="AD220" s="13">
        <v>0</v>
      </c>
      <c r="AE220" s="13">
        <v>573.77777777777783</v>
      </c>
      <c r="AF220" s="12">
        <f t="shared" si="98"/>
        <v>346.44444444444446</v>
      </c>
      <c r="AG220" s="12">
        <f t="shared" si="99"/>
        <v>227.33333333333334</v>
      </c>
      <c r="AH220" s="12">
        <f t="shared" si="100"/>
        <v>0</v>
      </c>
      <c r="AI220" s="12">
        <f t="shared" si="101"/>
        <v>0.35975539402330681</v>
      </c>
      <c r="AJ220" s="12">
        <f t="shared" si="102"/>
        <v>0.23606784354447907</v>
      </c>
      <c r="AK220" s="12">
        <f t="shared" si="103"/>
        <v>0</v>
      </c>
      <c r="AL220" s="12">
        <f t="shared" si="104"/>
        <v>0.59582323756778588</v>
      </c>
      <c r="AM220" s="13">
        <v>160.66666666666666</v>
      </c>
      <c r="AN220" s="13">
        <v>200</v>
      </c>
      <c r="AO220" s="13">
        <v>0</v>
      </c>
      <c r="AP220" s="13">
        <v>0</v>
      </c>
      <c r="AQ220" s="12">
        <v>4205</v>
      </c>
      <c r="AR220" s="13">
        <v>934.44444444444446</v>
      </c>
      <c r="AS220" s="17" t="s">
        <v>65</v>
      </c>
    </row>
    <row r="221" spans="1:45" x14ac:dyDescent="0.25">
      <c r="A221" s="22">
        <v>45771</v>
      </c>
      <c r="B221" s="10" t="str">
        <f t="shared" si="96"/>
        <v>2025</v>
      </c>
      <c r="C221" s="10" t="str">
        <f t="shared" si="97"/>
        <v>April</v>
      </c>
      <c r="D221" s="10"/>
      <c r="E221" s="11">
        <v>321</v>
      </c>
      <c r="F221" s="12">
        <f>E221*13.5</f>
        <v>4333.5</v>
      </c>
      <c r="G221" s="14" t="s">
        <v>31</v>
      </c>
      <c r="H221" s="6">
        <v>0</v>
      </c>
      <c r="I221" s="6">
        <v>57</v>
      </c>
      <c r="J221" s="6">
        <f>L221+M221</f>
        <v>2582</v>
      </c>
      <c r="K221" s="6"/>
      <c r="L221" s="6">
        <v>1559</v>
      </c>
      <c r="M221" s="6">
        <v>1023</v>
      </c>
      <c r="N221" s="6">
        <v>0</v>
      </c>
      <c r="O221" s="6"/>
      <c r="P221" s="6">
        <v>900</v>
      </c>
      <c r="Q221" s="6">
        <v>0</v>
      </c>
      <c r="R221" s="6">
        <v>723</v>
      </c>
      <c r="S221" s="6">
        <v>0</v>
      </c>
      <c r="T221" s="6">
        <v>0</v>
      </c>
      <c r="U221" s="14" t="s">
        <v>56</v>
      </c>
      <c r="V221" s="14" t="s">
        <v>57</v>
      </c>
      <c r="W221" s="6">
        <v>10</v>
      </c>
      <c r="X221" s="6">
        <v>4.5</v>
      </c>
      <c r="Y221" s="15">
        <f>SUM(X221)/(W221*X$2)</f>
        <v>7.4999999999999997E-2</v>
      </c>
      <c r="Z221" s="16">
        <f>X221/W221</f>
        <v>0.45</v>
      </c>
      <c r="AA221" s="16"/>
      <c r="AB221" s="16"/>
      <c r="AC221" s="13">
        <f>Q221/X221</f>
        <v>0</v>
      </c>
      <c r="AD221" s="13">
        <f>H221/X221</f>
        <v>0</v>
      </c>
      <c r="AE221" s="13">
        <f>J221/X221</f>
        <v>573.77777777777783</v>
      </c>
      <c r="AF221" s="12">
        <f t="shared" si="98"/>
        <v>227.33333333333334</v>
      </c>
      <c r="AG221" s="12"/>
      <c r="AH221" s="12">
        <f t="shared" si="100"/>
        <v>0</v>
      </c>
      <c r="AI221" s="12">
        <f t="shared" si="101"/>
        <v>0.23606784354447907</v>
      </c>
      <c r="AJ221" s="12">
        <f t="shared" si="102"/>
        <v>0</v>
      </c>
      <c r="AK221" s="12">
        <f t="shared" si="103"/>
        <v>0</v>
      </c>
      <c r="AL221" s="12">
        <f t="shared" si="104"/>
        <v>0.23606784354447907</v>
      </c>
      <c r="AM221" s="13">
        <f>R221/X221</f>
        <v>160.66666666666666</v>
      </c>
      <c r="AN221" s="13">
        <f>P221/X221</f>
        <v>200</v>
      </c>
      <c r="AO221" s="13">
        <f>S221/X221</f>
        <v>0</v>
      </c>
      <c r="AP221" s="13">
        <f>T221/X221</f>
        <v>0</v>
      </c>
      <c r="AQ221" s="12">
        <f>R221+Q221+P221+J221+H221</f>
        <v>4205</v>
      </c>
      <c r="AR221" s="13">
        <f>AO221+AN221+AM221+AE221+AD221+AC221</f>
        <v>934.44444444444446</v>
      </c>
      <c r="AS221" s="17" t="s">
        <v>65</v>
      </c>
    </row>
    <row r="222" spans="1:45" x14ac:dyDescent="0.25">
      <c r="A222" s="22">
        <v>45775</v>
      </c>
      <c r="B222" s="10" t="str">
        <f t="shared" si="96"/>
        <v>2025</v>
      </c>
      <c r="C222" s="10" t="str">
        <f t="shared" si="97"/>
        <v>April</v>
      </c>
      <c r="D222" s="10"/>
      <c r="E222" s="11">
        <v>645</v>
      </c>
      <c r="F222" s="12">
        <v>8707.5</v>
      </c>
      <c r="G222" s="13">
        <v>1061.8902439024391</v>
      </c>
      <c r="H222" s="14" t="s">
        <v>31</v>
      </c>
      <c r="I222" s="6">
        <v>0</v>
      </c>
      <c r="J222" s="6">
        <v>57</v>
      </c>
      <c r="K222" s="6"/>
      <c r="L222" s="6">
        <v>4486</v>
      </c>
      <c r="M222" s="6">
        <v>2208</v>
      </c>
      <c r="N222" s="6">
        <v>2278</v>
      </c>
      <c r="O222" s="6"/>
      <c r="P222" s="6">
        <v>1640</v>
      </c>
      <c r="Q222" s="6">
        <v>0</v>
      </c>
      <c r="R222" s="6">
        <v>2315</v>
      </c>
      <c r="S222" s="6">
        <v>0</v>
      </c>
      <c r="T222" s="6">
        <v>0</v>
      </c>
      <c r="U222" s="14" t="s">
        <v>56</v>
      </c>
      <c r="V222" s="14" t="s">
        <v>47</v>
      </c>
      <c r="W222" s="6">
        <v>10</v>
      </c>
      <c r="X222" s="6">
        <v>8.1999999999999993</v>
      </c>
      <c r="Y222" s="15">
        <v>0.96470588235294108</v>
      </c>
      <c r="Z222" s="16">
        <v>0.82</v>
      </c>
      <c r="AA222" s="16"/>
      <c r="AB222" s="16"/>
      <c r="AC222" s="13">
        <v>0</v>
      </c>
      <c r="AD222" s="13">
        <v>0</v>
      </c>
      <c r="AE222" s="13">
        <v>547.07317073170736</v>
      </c>
      <c r="AF222" s="12">
        <f t="shared" si="98"/>
        <v>269.26829268292687</v>
      </c>
      <c r="AG222" s="12">
        <f t="shared" si="99"/>
        <v>277.80487804878049</v>
      </c>
      <c r="AH222" s="12">
        <f t="shared" si="100"/>
        <v>0</v>
      </c>
      <c r="AI222" s="12">
        <f t="shared" si="101"/>
        <v>0.25357450473729543</v>
      </c>
      <c r="AJ222" s="12">
        <f t="shared" si="102"/>
        <v>0.26161355153603216</v>
      </c>
      <c r="AK222" s="12">
        <f t="shared" si="103"/>
        <v>0</v>
      </c>
      <c r="AL222" s="12">
        <f t="shared" si="104"/>
        <v>0.51518805627332753</v>
      </c>
      <c r="AM222" s="13">
        <v>282.31707317073176</v>
      </c>
      <c r="AN222" s="13">
        <v>200.00000000000003</v>
      </c>
      <c r="AO222" s="13">
        <v>0</v>
      </c>
      <c r="AP222" s="13">
        <v>0</v>
      </c>
      <c r="AQ222" s="12">
        <v>8441</v>
      </c>
      <c r="AR222" s="13">
        <v>1029.3902439024391</v>
      </c>
      <c r="AS222" s="17" t="s">
        <v>66</v>
      </c>
    </row>
    <row r="223" spans="1:45" x14ac:dyDescent="0.25">
      <c r="A223" s="22">
        <v>45776</v>
      </c>
      <c r="B223" s="10" t="str">
        <f t="shared" si="96"/>
        <v>2025</v>
      </c>
      <c r="C223" s="10" t="str">
        <f t="shared" si="97"/>
        <v>April</v>
      </c>
      <c r="D223" s="10"/>
      <c r="E223" s="11">
        <v>599</v>
      </c>
      <c r="F223" s="12">
        <v>8086.5</v>
      </c>
      <c r="G223" s="13">
        <v>1010.8125</v>
      </c>
      <c r="H223" s="14" t="s">
        <v>31</v>
      </c>
      <c r="I223" s="6">
        <v>0</v>
      </c>
      <c r="J223" s="6">
        <v>57</v>
      </c>
      <c r="K223" s="6"/>
      <c r="L223" s="6">
        <v>3795</v>
      </c>
      <c r="M223" s="6">
        <v>1444</v>
      </c>
      <c r="N223" s="6">
        <v>2351</v>
      </c>
      <c r="O223" s="6"/>
      <c r="P223" s="6">
        <v>1600</v>
      </c>
      <c r="Q223" s="6">
        <v>0</v>
      </c>
      <c r="R223" s="6">
        <v>2035</v>
      </c>
      <c r="S223" s="6">
        <v>0</v>
      </c>
      <c r="T223" s="6">
        <v>0</v>
      </c>
      <c r="U223" s="14" t="s">
        <v>56</v>
      </c>
      <c r="V223" s="14" t="s">
        <v>47</v>
      </c>
      <c r="W223" s="6">
        <v>10</v>
      </c>
      <c r="X223" s="6">
        <v>8</v>
      </c>
      <c r="Y223" s="15">
        <v>0.94117647058823528</v>
      </c>
      <c r="Z223" s="16">
        <v>0.8</v>
      </c>
      <c r="AA223" s="16"/>
      <c r="AB223" s="16"/>
      <c r="AC223" s="13">
        <v>0</v>
      </c>
      <c r="AD223" s="13">
        <v>0</v>
      </c>
      <c r="AE223" s="13">
        <v>474.375</v>
      </c>
      <c r="AF223" s="12">
        <f t="shared" si="98"/>
        <v>180.5</v>
      </c>
      <c r="AG223" s="12">
        <f t="shared" si="99"/>
        <v>293.875</v>
      </c>
      <c r="AH223" s="12">
        <f t="shared" si="100"/>
        <v>0</v>
      </c>
      <c r="AI223" s="12">
        <f t="shared" si="101"/>
        <v>0.17856922030544736</v>
      </c>
      <c r="AJ223" s="12">
        <f t="shared" si="102"/>
        <v>0.2907314660236196</v>
      </c>
      <c r="AK223" s="12">
        <f t="shared" si="103"/>
        <v>0</v>
      </c>
      <c r="AL223" s="12">
        <f t="shared" si="104"/>
        <v>0.46930068632906696</v>
      </c>
      <c r="AM223" s="13">
        <v>254.375</v>
      </c>
      <c r="AN223" s="13">
        <v>200</v>
      </c>
      <c r="AO223" s="13">
        <v>0</v>
      </c>
      <c r="AP223" s="13">
        <v>0</v>
      </c>
      <c r="AQ223" s="12">
        <v>7430</v>
      </c>
      <c r="AR223" s="13">
        <v>928.75</v>
      </c>
      <c r="AS223" s="17"/>
    </row>
    <row r="224" spans="1:45" x14ac:dyDescent="0.25">
      <c r="A224" s="22">
        <v>45777</v>
      </c>
      <c r="B224" s="10" t="str">
        <f t="shared" si="96"/>
        <v>2025</v>
      </c>
      <c r="C224" s="10" t="str">
        <f t="shared" si="97"/>
        <v>April</v>
      </c>
      <c r="D224" s="10"/>
      <c r="E224" s="11"/>
      <c r="F224" s="12"/>
      <c r="G224" s="13"/>
      <c r="H224" s="14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14"/>
      <c r="V224" s="14"/>
      <c r="W224" s="6"/>
      <c r="X224" s="6"/>
      <c r="Y224" s="15"/>
      <c r="Z224" s="16">
        <v>0</v>
      </c>
      <c r="AA224" s="16"/>
      <c r="AB224" s="16"/>
      <c r="AC224" s="13"/>
      <c r="AD224" s="13"/>
      <c r="AE224" s="13"/>
      <c r="AF224" s="12"/>
      <c r="AG224" s="12"/>
      <c r="AH224" s="12"/>
      <c r="AI224" s="12"/>
      <c r="AJ224" s="12"/>
      <c r="AK224" s="12"/>
      <c r="AL224" s="12"/>
      <c r="AM224" s="13"/>
      <c r="AN224" s="13"/>
      <c r="AO224" s="13"/>
      <c r="AP224" s="13"/>
      <c r="AQ224" s="12"/>
      <c r="AR224" s="13"/>
      <c r="AS224" s="17"/>
    </row>
    <row r="225" spans="1:45" x14ac:dyDescent="0.25">
      <c r="A225" s="22">
        <v>45778</v>
      </c>
      <c r="B225" s="10" t="str">
        <f t="shared" si="96"/>
        <v>2025</v>
      </c>
      <c r="C225" s="10" t="str">
        <f t="shared" si="97"/>
        <v>May</v>
      </c>
      <c r="D225" s="10"/>
      <c r="E225" s="11">
        <v>739</v>
      </c>
      <c r="F225" s="12">
        <v>9976.5</v>
      </c>
      <c r="G225" s="13">
        <v>1173.7058823529412</v>
      </c>
      <c r="H225" s="14" t="s">
        <v>31</v>
      </c>
      <c r="I225" s="6">
        <v>0</v>
      </c>
      <c r="J225" s="6">
        <v>57</v>
      </c>
      <c r="K225" s="6"/>
      <c r="L225" s="6">
        <v>4762</v>
      </c>
      <c r="M225" s="6">
        <v>2232</v>
      </c>
      <c r="N225" s="6">
        <v>2530</v>
      </c>
      <c r="O225" s="6"/>
      <c r="P225" s="6">
        <v>1700</v>
      </c>
      <c r="Q225" s="6">
        <v>0</v>
      </c>
      <c r="R225" s="6">
        <v>2574</v>
      </c>
      <c r="S225" s="6">
        <v>0</v>
      </c>
      <c r="T225" s="6">
        <v>0</v>
      </c>
      <c r="U225" s="14" t="s">
        <v>56</v>
      </c>
      <c r="V225" s="14" t="s">
        <v>47</v>
      </c>
      <c r="W225" s="6">
        <v>10</v>
      </c>
      <c r="X225" s="6">
        <v>8.5</v>
      </c>
      <c r="Y225" s="15">
        <v>1</v>
      </c>
      <c r="Z225" s="16">
        <v>0.85</v>
      </c>
      <c r="AA225" s="16"/>
      <c r="AB225" s="16"/>
      <c r="AC225" s="13">
        <v>0</v>
      </c>
      <c r="AD225" s="13">
        <v>0</v>
      </c>
      <c r="AE225" s="13">
        <v>560.23529411764707</v>
      </c>
      <c r="AF225" s="12">
        <f t="shared" si="98"/>
        <v>262.58823529411762</v>
      </c>
      <c r="AG225" s="12">
        <f t="shared" si="99"/>
        <v>297.64705882352939</v>
      </c>
      <c r="AH225" s="12">
        <f t="shared" si="100"/>
        <v>0</v>
      </c>
      <c r="AI225" s="12">
        <f t="shared" si="101"/>
        <v>0.22372575552548488</v>
      </c>
      <c r="AJ225" s="12">
        <f t="shared" si="102"/>
        <v>0.25359595048363653</v>
      </c>
      <c r="AK225" s="12">
        <f t="shared" si="103"/>
        <v>0</v>
      </c>
      <c r="AL225" s="12">
        <f t="shared" si="104"/>
        <v>0.47732170600912138</v>
      </c>
      <c r="AM225" s="13">
        <v>302.8235294117647</v>
      </c>
      <c r="AN225" s="13">
        <v>200</v>
      </c>
      <c r="AO225" s="13">
        <v>0</v>
      </c>
      <c r="AP225" s="13">
        <v>0</v>
      </c>
      <c r="AQ225" s="12">
        <v>9036</v>
      </c>
      <c r="AR225" s="13">
        <v>1063.0588235294117</v>
      </c>
      <c r="AS225" s="17" t="s">
        <v>67</v>
      </c>
    </row>
    <row r="226" spans="1:45" x14ac:dyDescent="0.25">
      <c r="A226" s="22">
        <v>45785</v>
      </c>
      <c r="B226" s="10" t="str">
        <f t="shared" si="96"/>
        <v>2025</v>
      </c>
      <c r="C226" s="10" t="str">
        <f t="shared" si="97"/>
        <v>May</v>
      </c>
      <c r="D226" s="10"/>
      <c r="E226" s="11">
        <v>174</v>
      </c>
      <c r="F226" s="12">
        <v>2349</v>
      </c>
      <c r="G226" s="13">
        <v>1118.5714285714284</v>
      </c>
      <c r="H226" s="14" t="s">
        <v>31</v>
      </c>
      <c r="I226" s="6">
        <v>0</v>
      </c>
      <c r="J226" s="6">
        <v>57</v>
      </c>
      <c r="K226" s="6"/>
      <c r="L226" s="6">
        <v>1178</v>
      </c>
      <c r="M226" s="6">
        <v>488</v>
      </c>
      <c r="N226" s="6">
        <v>690</v>
      </c>
      <c r="O226" s="6"/>
      <c r="P226" s="6">
        <v>420</v>
      </c>
      <c r="Q226" s="6">
        <v>0</v>
      </c>
      <c r="R226" s="6">
        <v>525</v>
      </c>
      <c r="S226" s="6">
        <v>0</v>
      </c>
      <c r="T226" s="6">
        <v>0</v>
      </c>
      <c r="U226" s="14" t="s">
        <v>56</v>
      </c>
      <c r="V226" s="14" t="s">
        <v>47</v>
      </c>
      <c r="W226" s="6">
        <v>10</v>
      </c>
      <c r="X226" s="6">
        <v>2.1</v>
      </c>
      <c r="Y226" s="15">
        <v>0.24705882352941178</v>
      </c>
      <c r="Z226" s="16">
        <v>0.21000000000000002</v>
      </c>
      <c r="AA226" s="16"/>
      <c r="AB226" s="16"/>
      <c r="AC226" s="13">
        <v>0</v>
      </c>
      <c r="AD226" s="13">
        <v>0</v>
      </c>
      <c r="AE226" s="13">
        <v>560.95238095238096</v>
      </c>
      <c r="AF226" s="12">
        <f t="shared" si="98"/>
        <v>232.38095238095238</v>
      </c>
      <c r="AG226" s="12">
        <f t="shared" si="99"/>
        <v>328.57142857142856</v>
      </c>
      <c r="AH226" s="12">
        <f t="shared" si="100"/>
        <v>0</v>
      </c>
      <c r="AI226" s="12">
        <f t="shared" si="101"/>
        <v>0.2077479778629204</v>
      </c>
      <c r="AJ226" s="12">
        <f t="shared" si="102"/>
        <v>0.29374201787994891</v>
      </c>
      <c r="AK226" s="12">
        <f t="shared" si="103"/>
        <v>0</v>
      </c>
      <c r="AL226" s="12">
        <f t="shared" si="104"/>
        <v>0.50148999574286934</v>
      </c>
      <c r="AM226" s="13">
        <v>250</v>
      </c>
      <c r="AN226" s="13">
        <v>200</v>
      </c>
      <c r="AO226" s="13">
        <v>0</v>
      </c>
      <c r="AP226" s="13">
        <v>0</v>
      </c>
      <c r="AQ226" s="12">
        <v>2123</v>
      </c>
      <c r="AR226" s="13">
        <v>1010.952380952381</v>
      </c>
      <c r="AS226" s="17" t="s">
        <v>68</v>
      </c>
    </row>
    <row r="227" spans="1:45" x14ac:dyDescent="0.25">
      <c r="A227" s="22">
        <v>45786</v>
      </c>
      <c r="B227" s="10" t="str">
        <f t="shared" si="96"/>
        <v>2025</v>
      </c>
      <c r="C227" s="10" t="str">
        <f t="shared" si="97"/>
        <v>May</v>
      </c>
      <c r="D227" s="10"/>
      <c r="E227" s="11">
        <v>95</v>
      </c>
      <c r="F227" s="12">
        <v>1282.5</v>
      </c>
      <c r="G227" s="13">
        <v>641.25</v>
      </c>
      <c r="H227" s="14" t="s">
        <v>31</v>
      </c>
      <c r="I227" s="6">
        <v>0</v>
      </c>
      <c r="J227" s="6">
        <v>57</v>
      </c>
      <c r="K227" s="6"/>
      <c r="L227" s="6">
        <v>750</v>
      </c>
      <c r="M227" s="6">
        <v>375</v>
      </c>
      <c r="N227" s="6">
        <v>375</v>
      </c>
      <c r="O227" s="6"/>
      <c r="P227" s="6">
        <v>350</v>
      </c>
      <c r="Q227" s="6">
        <v>0</v>
      </c>
      <c r="R227" s="6">
        <v>375</v>
      </c>
      <c r="S227" s="6">
        <v>0</v>
      </c>
      <c r="T227" s="6">
        <v>0</v>
      </c>
      <c r="U227" s="14" t="s">
        <v>56</v>
      </c>
      <c r="V227" s="14" t="s">
        <v>47</v>
      </c>
      <c r="W227" s="6">
        <v>10</v>
      </c>
      <c r="X227" s="6">
        <v>2</v>
      </c>
      <c r="Y227" s="15">
        <v>0.23529411764705882</v>
      </c>
      <c r="Z227" s="16">
        <v>0.2</v>
      </c>
      <c r="AA227" s="16"/>
      <c r="AB227" s="16"/>
      <c r="AC227" s="13">
        <v>0</v>
      </c>
      <c r="AD227" s="13">
        <v>0</v>
      </c>
      <c r="AE227" s="13">
        <v>375</v>
      </c>
      <c r="AF227" s="12">
        <f t="shared" si="98"/>
        <v>187.5</v>
      </c>
      <c r="AG227" s="12">
        <f t="shared" si="99"/>
        <v>187.5</v>
      </c>
      <c r="AH227" s="12">
        <f t="shared" si="100"/>
        <v>0</v>
      </c>
      <c r="AI227" s="12">
        <f t="shared" si="101"/>
        <v>0.29239766081871343</v>
      </c>
      <c r="AJ227" s="12">
        <f t="shared" si="102"/>
        <v>0.29239766081871343</v>
      </c>
      <c r="AK227" s="12">
        <f t="shared" si="103"/>
        <v>0</v>
      </c>
      <c r="AL227" s="12">
        <f t="shared" si="104"/>
        <v>0.58479532163742687</v>
      </c>
      <c r="AM227" s="13">
        <v>187.5</v>
      </c>
      <c r="AN227" s="13">
        <v>175</v>
      </c>
      <c r="AO227" s="13">
        <v>0</v>
      </c>
      <c r="AP227" s="13">
        <v>0</v>
      </c>
      <c r="AQ227" s="12">
        <v>1475</v>
      </c>
      <c r="AR227" s="13">
        <v>737.5</v>
      </c>
      <c r="AS227" s="17" t="s">
        <v>69</v>
      </c>
    </row>
    <row r="228" spans="1:45" x14ac:dyDescent="0.25">
      <c r="A228" s="22">
        <v>45789</v>
      </c>
      <c r="B228" s="10" t="str">
        <f t="shared" si="96"/>
        <v>2025</v>
      </c>
      <c r="C228" s="10" t="str">
        <f t="shared" si="97"/>
        <v>May</v>
      </c>
      <c r="D228" s="10"/>
      <c r="E228" s="11">
        <v>288</v>
      </c>
      <c r="F228" s="12">
        <v>3888</v>
      </c>
      <c r="G228" s="13">
        <v>972</v>
      </c>
      <c r="H228" s="14" t="s">
        <v>31</v>
      </c>
      <c r="I228" s="6">
        <v>0</v>
      </c>
      <c r="J228" s="6">
        <v>57</v>
      </c>
      <c r="K228" s="6"/>
      <c r="L228" s="6">
        <v>1602</v>
      </c>
      <c r="M228" s="6">
        <v>802</v>
      </c>
      <c r="N228" s="6">
        <v>800</v>
      </c>
      <c r="O228" s="6"/>
      <c r="P228" s="6">
        <v>800</v>
      </c>
      <c r="Q228" s="6">
        <v>0</v>
      </c>
      <c r="R228" s="6">
        <v>1224</v>
      </c>
      <c r="S228" s="6">
        <v>0</v>
      </c>
      <c r="T228" s="6">
        <v>0</v>
      </c>
      <c r="U228" s="14" t="s">
        <v>56</v>
      </c>
      <c r="V228" s="14" t="s">
        <v>47</v>
      </c>
      <c r="W228" s="6">
        <v>10</v>
      </c>
      <c r="X228" s="6">
        <v>4</v>
      </c>
      <c r="Y228" s="15">
        <v>0.47058823529411764</v>
      </c>
      <c r="Z228" s="16">
        <v>0.4</v>
      </c>
      <c r="AA228" s="16"/>
      <c r="AB228" s="16"/>
      <c r="AC228" s="13">
        <v>0</v>
      </c>
      <c r="AD228" s="13">
        <v>0</v>
      </c>
      <c r="AE228" s="13">
        <v>400.5</v>
      </c>
      <c r="AF228" s="12">
        <f t="shared" si="98"/>
        <v>200.5</v>
      </c>
      <c r="AG228" s="12">
        <f t="shared" si="99"/>
        <v>200</v>
      </c>
      <c r="AH228" s="12">
        <f t="shared" si="100"/>
        <v>0</v>
      </c>
      <c r="AI228" s="12">
        <f t="shared" si="101"/>
        <v>0.20627572016460904</v>
      </c>
      <c r="AJ228" s="12">
        <f t="shared" si="102"/>
        <v>0.20576131687242799</v>
      </c>
      <c r="AK228" s="12">
        <f t="shared" si="103"/>
        <v>0</v>
      </c>
      <c r="AL228" s="12">
        <f t="shared" si="104"/>
        <v>0.41203703703703703</v>
      </c>
      <c r="AM228" s="13">
        <v>306</v>
      </c>
      <c r="AN228" s="13">
        <v>200</v>
      </c>
      <c r="AO228" s="13">
        <v>0</v>
      </c>
      <c r="AP228" s="13">
        <v>0</v>
      </c>
      <c r="AQ228" s="12">
        <v>3626</v>
      </c>
      <c r="AR228" s="13">
        <v>906.5</v>
      </c>
      <c r="AS228" s="17" t="s">
        <v>70</v>
      </c>
    </row>
    <row r="229" spans="1:45" x14ac:dyDescent="0.25">
      <c r="A229" s="22">
        <v>45790</v>
      </c>
      <c r="B229" s="10" t="str">
        <f t="shared" si="96"/>
        <v>2025</v>
      </c>
      <c r="C229" s="10" t="str">
        <f t="shared" si="97"/>
        <v>May</v>
      </c>
      <c r="D229" s="10"/>
      <c r="E229" s="11">
        <v>395</v>
      </c>
      <c r="F229" s="12">
        <v>5332.5</v>
      </c>
      <c r="G229" s="13">
        <v>1025.4807692307693</v>
      </c>
      <c r="H229" s="14" t="s">
        <v>31</v>
      </c>
      <c r="I229" s="6">
        <v>0</v>
      </c>
      <c r="J229" s="6">
        <v>57</v>
      </c>
      <c r="K229" s="6"/>
      <c r="L229" s="6">
        <v>2790</v>
      </c>
      <c r="M229" s="6">
        <v>1395</v>
      </c>
      <c r="N229" s="6">
        <v>1395</v>
      </c>
      <c r="O229" s="6"/>
      <c r="P229" s="6">
        <v>1040</v>
      </c>
      <c r="Q229" s="6">
        <v>0</v>
      </c>
      <c r="R229" s="6">
        <v>1517</v>
      </c>
      <c r="S229" s="6">
        <v>0</v>
      </c>
      <c r="T229" s="6">
        <v>0</v>
      </c>
      <c r="U229" s="14" t="s">
        <v>56</v>
      </c>
      <c r="V229" s="14" t="s">
        <v>47</v>
      </c>
      <c r="W229" s="6">
        <v>8</v>
      </c>
      <c r="X229" s="6">
        <v>5.2</v>
      </c>
      <c r="Y229" s="15">
        <v>0.76470588235294124</v>
      </c>
      <c r="Z229" s="16">
        <v>0.65</v>
      </c>
      <c r="AA229" s="16"/>
      <c r="AB229" s="16"/>
      <c r="AC229" s="13">
        <v>0</v>
      </c>
      <c r="AD229" s="13">
        <v>0</v>
      </c>
      <c r="AE229" s="13">
        <v>536.53846153846155</v>
      </c>
      <c r="AF229" s="12">
        <f t="shared" si="98"/>
        <v>268.26923076923077</v>
      </c>
      <c r="AG229" s="12">
        <f t="shared" si="99"/>
        <v>268.26923076923077</v>
      </c>
      <c r="AH229" s="12">
        <f t="shared" si="100"/>
        <v>0</v>
      </c>
      <c r="AI229" s="12">
        <f t="shared" si="101"/>
        <v>0.26160337552742619</v>
      </c>
      <c r="AJ229" s="12">
        <f t="shared" si="102"/>
        <v>0.26160337552742619</v>
      </c>
      <c r="AK229" s="12">
        <f t="shared" si="103"/>
        <v>0</v>
      </c>
      <c r="AL229" s="12">
        <f t="shared" si="104"/>
        <v>0.52320675105485237</v>
      </c>
      <c r="AM229" s="13">
        <v>291.73076923076923</v>
      </c>
      <c r="AN229" s="13">
        <v>200</v>
      </c>
      <c r="AO229" s="13">
        <v>0</v>
      </c>
      <c r="AP229" s="13">
        <v>0</v>
      </c>
      <c r="AQ229" s="12">
        <v>5347</v>
      </c>
      <c r="AR229" s="13">
        <v>1028.2692307692307</v>
      </c>
      <c r="AS229" s="17" t="s">
        <v>71</v>
      </c>
    </row>
    <row r="230" spans="1:45" x14ac:dyDescent="0.25">
      <c r="A230" s="22">
        <v>45791</v>
      </c>
      <c r="B230" s="10" t="str">
        <f t="shared" si="96"/>
        <v>2025</v>
      </c>
      <c r="C230" s="10" t="str">
        <f t="shared" si="97"/>
        <v>May</v>
      </c>
      <c r="D230" s="10"/>
      <c r="E230" s="11">
        <v>567</v>
      </c>
      <c r="F230" s="12">
        <v>7654.5</v>
      </c>
      <c r="G230" s="13">
        <v>1078.0985915492959</v>
      </c>
      <c r="H230" s="14" t="s">
        <v>31</v>
      </c>
      <c r="I230" s="6">
        <v>0</v>
      </c>
      <c r="J230" s="6">
        <v>57</v>
      </c>
      <c r="K230" s="6"/>
      <c r="L230" s="6">
        <v>4019</v>
      </c>
      <c r="M230" s="6">
        <v>1921</v>
      </c>
      <c r="N230" s="6">
        <v>2098</v>
      </c>
      <c r="O230" s="6"/>
      <c r="P230" s="6">
        <v>1420</v>
      </c>
      <c r="Q230" s="6">
        <v>0</v>
      </c>
      <c r="R230" s="6">
        <v>2573</v>
      </c>
      <c r="S230" s="6">
        <v>0</v>
      </c>
      <c r="T230" s="6">
        <v>0</v>
      </c>
      <c r="U230" s="14" t="s">
        <v>56</v>
      </c>
      <c r="V230" s="14" t="s">
        <v>47</v>
      </c>
      <c r="W230" s="6">
        <v>10</v>
      </c>
      <c r="X230" s="6">
        <v>7.1</v>
      </c>
      <c r="Y230" s="15">
        <v>0.83529411764705874</v>
      </c>
      <c r="Z230" s="16">
        <v>0.71</v>
      </c>
      <c r="AA230" s="16"/>
      <c r="AB230" s="16"/>
      <c r="AC230" s="13">
        <v>0</v>
      </c>
      <c r="AD230" s="13">
        <v>0</v>
      </c>
      <c r="AE230" s="13">
        <v>566.05633802816908</v>
      </c>
      <c r="AF230" s="12">
        <f t="shared" si="98"/>
        <v>270.56338028169017</v>
      </c>
      <c r="AG230" s="12">
        <f t="shared" si="99"/>
        <v>295.49295774647891</v>
      </c>
      <c r="AH230" s="12">
        <f t="shared" si="100"/>
        <v>0</v>
      </c>
      <c r="AI230" s="12">
        <f t="shared" si="101"/>
        <v>0.25096348553138675</v>
      </c>
      <c r="AJ230" s="12">
        <f t="shared" si="102"/>
        <v>0.27408713828466913</v>
      </c>
      <c r="AK230" s="12">
        <f t="shared" si="103"/>
        <v>0</v>
      </c>
      <c r="AL230" s="12">
        <f t="shared" si="104"/>
        <v>0.52505062381605594</v>
      </c>
      <c r="AM230" s="13">
        <v>362.3943661971831</v>
      </c>
      <c r="AN230" s="13">
        <v>200</v>
      </c>
      <c r="AO230" s="13">
        <v>0</v>
      </c>
      <c r="AP230" s="13">
        <v>0</v>
      </c>
      <c r="AQ230" s="12">
        <v>8012</v>
      </c>
      <c r="AR230" s="13">
        <v>1128.4507042253522</v>
      </c>
      <c r="AS230" s="17" t="s">
        <v>72</v>
      </c>
    </row>
    <row r="231" spans="1:45" x14ac:dyDescent="0.25">
      <c r="A231" s="22">
        <v>45798</v>
      </c>
      <c r="B231" s="10" t="str">
        <f t="shared" si="96"/>
        <v>2025</v>
      </c>
      <c r="C231" s="10" t="str">
        <f t="shared" si="97"/>
        <v>May</v>
      </c>
      <c r="D231" s="10"/>
      <c r="E231" s="11">
        <v>484</v>
      </c>
      <c r="F231" s="12">
        <v>6534</v>
      </c>
      <c r="G231" s="13">
        <v>1071.1475409836066</v>
      </c>
      <c r="H231" s="14" t="s">
        <v>31</v>
      </c>
      <c r="I231" s="6">
        <v>0</v>
      </c>
      <c r="J231" s="6">
        <v>57</v>
      </c>
      <c r="K231" s="6"/>
      <c r="L231" s="6">
        <v>4188</v>
      </c>
      <c r="M231" s="6">
        <v>1957</v>
      </c>
      <c r="N231" s="6">
        <v>2231</v>
      </c>
      <c r="O231" s="6"/>
      <c r="P231" s="6">
        <v>2318</v>
      </c>
      <c r="Q231" s="6">
        <v>0</v>
      </c>
      <c r="R231" s="6">
        <v>0</v>
      </c>
      <c r="S231" s="6">
        <v>0</v>
      </c>
      <c r="T231" s="6">
        <v>0</v>
      </c>
      <c r="U231" s="14" t="s">
        <v>56</v>
      </c>
      <c r="V231" s="14" t="s">
        <v>47</v>
      </c>
      <c r="W231" s="6">
        <v>10</v>
      </c>
      <c r="X231" s="6">
        <v>6.1</v>
      </c>
      <c r="Y231" s="15">
        <v>0.71764705882352942</v>
      </c>
      <c r="Z231" s="16">
        <v>0.61</v>
      </c>
      <c r="AA231" s="16"/>
      <c r="AB231" s="16"/>
      <c r="AC231" s="13">
        <v>0</v>
      </c>
      <c r="AD231" s="13">
        <v>0</v>
      </c>
      <c r="AE231" s="13">
        <v>686.55737704918033</v>
      </c>
      <c r="AF231" s="12">
        <f t="shared" si="98"/>
        <v>320.81967213114757</v>
      </c>
      <c r="AG231" s="12">
        <f t="shared" si="99"/>
        <v>365.73770491803282</v>
      </c>
      <c r="AH231" s="12">
        <f t="shared" si="100"/>
        <v>0</v>
      </c>
      <c r="AI231" s="12">
        <f t="shared" si="101"/>
        <v>0.29951025405570858</v>
      </c>
      <c r="AJ231" s="12">
        <f t="shared" si="102"/>
        <v>0.34144475053565965</v>
      </c>
      <c r="AK231" s="12">
        <f t="shared" si="103"/>
        <v>0</v>
      </c>
      <c r="AL231" s="12">
        <f t="shared" si="104"/>
        <v>0.64095500459136823</v>
      </c>
      <c r="AM231" s="13">
        <v>0</v>
      </c>
      <c r="AN231" s="13">
        <v>380</v>
      </c>
      <c r="AO231" s="13">
        <v>0</v>
      </c>
      <c r="AP231" s="13">
        <v>0</v>
      </c>
      <c r="AQ231" s="12">
        <v>6506</v>
      </c>
      <c r="AR231" s="13">
        <v>1066.5573770491803</v>
      </c>
      <c r="AS231" s="17" t="s">
        <v>73</v>
      </c>
    </row>
    <row r="232" spans="1:45" x14ac:dyDescent="0.25">
      <c r="A232" s="22">
        <v>45799</v>
      </c>
      <c r="B232" s="10" t="str">
        <f t="shared" si="96"/>
        <v>2025</v>
      </c>
      <c r="C232" s="10" t="str">
        <f t="shared" si="97"/>
        <v>May</v>
      </c>
      <c r="D232" s="10"/>
      <c r="E232" s="11">
        <v>200</v>
      </c>
      <c r="F232" s="12">
        <v>2700</v>
      </c>
      <c r="G232" s="13">
        <v>900</v>
      </c>
      <c r="H232" s="14" t="s">
        <v>31</v>
      </c>
      <c r="I232" s="6">
        <v>0</v>
      </c>
      <c r="J232" s="6">
        <v>57</v>
      </c>
      <c r="K232" s="6"/>
      <c r="L232" s="6">
        <v>2096</v>
      </c>
      <c r="M232" s="6">
        <v>1024</v>
      </c>
      <c r="N232" s="6">
        <v>1072</v>
      </c>
      <c r="O232" s="6"/>
      <c r="P232" s="6">
        <v>600</v>
      </c>
      <c r="Q232" s="6">
        <v>0</v>
      </c>
      <c r="R232" s="6">
        <v>345</v>
      </c>
      <c r="S232" s="6">
        <v>0</v>
      </c>
      <c r="T232" s="6">
        <v>0</v>
      </c>
      <c r="U232" s="14" t="s">
        <v>56</v>
      </c>
      <c r="V232" s="14" t="s">
        <v>47</v>
      </c>
      <c r="W232" s="6">
        <v>10</v>
      </c>
      <c r="X232" s="6">
        <v>3</v>
      </c>
      <c r="Y232" s="15">
        <v>0.35294117647058826</v>
      </c>
      <c r="Z232" s="16">
        <v>0.3</v>
      </c>
      <c r="AA232" s="16"/>
      <c r="AB232" s="16"/>
      <c r="AC232" s="13">
        <v>0</v>
      </c>
      <c r="AD232" s="13">
        <v>0</v>
      </c>
      <c r="AE232" s="13">
        <v>698.66666666666663</v>
      </c>
      <c r="AF232" s="12">
        <f t="shared" si="98"/>
        <v>341.33333333333331</v>
      </c>
      <c r="AG232" s="12">
        <f t="shared" si="99"/>
        <v>357.33333333333331</v>
      </c>
      <c r="AH232" s="12">
        <f t="shared" si="100"/>
        <v>0</v>
      </c>
      <c r="AI232" s="12">
        <f t="shared" si="101"/>
        <v>0.37925925925925924</v>
      </c>
      <c r="AJ232" s="12">
        <f t="shared" si="102"/>
        <v>0.39703703703703702</v>
      </c>
      <c r="AK232" s="12">
        <f t="shared" si="103"/>
        <v>0</v>
      </c>
      <c r="AL232" s="12">
        <f t="shared" si="104"/>
        <v>0.77629629629629626</v>
      </c>
      <c r="AM232" s="13">
        <v>115</v>
      </c>
      <c r="AN232" s="13">
        <v>200</v>
      </c>
      <c r="AO232" s="13">
        <v>0</v>
      </c>
      <c r="AP232" s="13">
        <v>0</v>
      </c>
      <c r="AQ232" s="12">
        <v>3041</v>
      </c>
      <c r="AR232" s="13">
        <v>1013.6666666666666</v>
      </c>
      <c r="AS232" s="17" t="s">
        <v>74</v>
      </c>
    </row>
    <row r="233" spans="1:45" x14ac:dyDescent="0.25">
      <c r="A233" s="22">
        <v>45800</v>
      </c>
      <c r="B233" s="10" t="str">
        <f t="shared" si="96"/>
        <v>2025</v>
      </c>
      <c r="C233" s="10" t="str">
        <f t="shared" si="97"/>
        <v>May</v>
      </c>
      <c r="D233" s="10"/>
      <c r="E233" s="11">
        <v>544</v>
      </c>
      <c r="F233" s="12">
        <v>7344</v>
      </c>
      <c r="G233" s="13">
        <v>992.43243243243239</v>
      </c>
      <c r="H233" s="14" t="s">
        <v>31</v>
      </c>
      <c r="I233" s="6">
        <v>0</v>
      </c>
      <c r="J233" s="6">
        <v>57</v>
      </c>
      <c r="K233" s="6"/>
      <c r="L233" s="6">
        <v>5480</v>
      </c>
      <c r="M233" s="6">
        <v>2603</v>
      </c>
      <c r="N233" s="6">
        <v>2877</v>
      </c>
      <c r="O233" s="6"/>
      <c r="P233" s="6">
        <v>2819</v>
      </c>
      <c r="Q233" s="6">
        <v>0</v>
      </c>
      <c r="R233" s="6">
        <v>0</v>
      </c>
      <c r="S233" s="6">
        <v>0</v>
      </c>
      <c r="T233" s="6">
        <v>0</v>
      </c>
      <c r="U233" s="14" t="s">
        <v>56</v>
      </c>
      <c r="V233" s="14" t="s">
        <v>47</v>
      </c>
      <c r="W233" s="6">
        <v>10</v>
      </c>
      <c r="X233" s="6">
        <v>7.4</v>
      </c>
      <c r="Y233" s="15">
        <v>0.87058823529411766</v>
      </c>
      <c r="Z233" s="16">
        <v>0.74</v>
      </c>
      <c r="AA233" s="16"/>
      <c r="AB233" s="16"/>
      <c r="AC233" s="13">
        <v>0</v>
      </c>
      <c r="AD233" s="13">
        <v>0</v>
      </c>
      <c r="AE233" s="13">
        <v>740.54054054054052</v>
      </c>
      <c r="AF233" s="12">
        <f t="shared" si="98"/>
        <v>351.75675675675672</v>
      </c>
      <c r="AG233" s="12">
        <f t="shared" si="99"/>
        <v>388.78378378378375</v>
      </c>
      <c r="AH233" s="12">
        <f t="shared" si="100"/>
        <v>0</v>
      </c>
      <c r="AI233" s="12">
        <f t="shared" si="101"/>
        <v>0.35443899782135074</v>
      </c>
      <c r="AJ233" s="12">
        <f t="shared" si="102"/>
        <v>0.39174836601307189</v>
      </c>
      <c r="AK233" s="12">
        <f t="shared" si="103"/>
        <v>0</v>
      </c>
      <c r="AL233" s="12">
        <f t="shared" si="104"/>
        <v>0.74618736383442263</v>
      </c>
      <c r="AM233" s="13">
        <v>0</v>
      </c>
      <c r="AN233" s="13">
        <v>380.94594594594594</v>
      </c>
      <c r="AO233" s="13">
        <v>0</v>
      </c>
      <c r="AP233" s="13">
        <v>0</v>
      </c>
      <c r="AQ233" s="12">
        <v>8299</v>
      </c>
      <c r="AR233" s="13">
        <v>1121.4864864864865</v>
      </c>
      <c r="AS233" s="17" t="s">
        <v>75</v>
      </c>
    </row>
    <row r="234" spans="1:45" x14ac:dyDescent="0.25">
      <c r="A234" s="22">
        <v>45801</v>
      </c>
      <c r="B234" s="10" t="str">
        <f t="shared" si="96"/>
        <v>2025</v>
      </c>
      <c r="C234" s="10" t="str">
        <f t="shared" si="97"/>
        <v>May</v>
      </c>
      <c r="D234" s="10"/>
      <c r="E234" s="11"/>
      <c r="F234" s="12"/>
      <c r="G234" s="13"/>
      <c r="H234" s="14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14"/>
      <c r="V234" s="14"/>
      <c r="W234" s="6"/>
      <c r="X234" s="6"/>
      <c r="Y234" s="15"/>
      <c r="Z234" s="16">
        <v>0</v>
      </c>
      <c r="AA234" s="16"/>
      <c r="AB234" s="16"/>
      <c r="AC234" s="13"/>
      <c r="AD234" s="13"/>
      <c r="AE234" s="13"/>
      <c r="AF234" s="12"/>
      <c r="AG234" s="12"/>
      <c r="AH234" s="12"/>
      <c r="AI234" s="12"/>
      <c r="AJ234" s="12"/>
      <c r="AK234" s="12"/>
      <c r="AL234" s="12"/>
      <c r="AM234" s="13"/>
      <c r="AN234" s="13"/>
      <c r="AO234" s="13"/>
      <c r="AP234" s="13"/>
      <c r="AQ234" s="12"/>
      <c r="AR234" s="13"/>
      <c r="AS234" s="17"/>
    </row>
    <row r="235" spans="1:45" x14ac:dyDescent="0.25">
      <c r="A235" s="22">
        <v>45802</v>
      </c>
      <c r="B235" s="10" t="str">
        <f t="shared" si="96"/>
        <v>2025</v>
      </c>
      <c r="C235" s="10" t="str">
        <f t="shared" si="97"/>
        <v>May</v>
      </c>
      <c r="D235" s="10"/>
      <c r="E235" s="11"/>
      <c r="F235" s="12"/>
      <c r="G235" s="13"/>
      <c r="H235" s="14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14"/>
      <c r="V235" s="14"/>
      <c r="W235" s="6"/>
      <c r="X235" s="6"/>
      <c r="Y235" s="15"/>
      <c r="Z235" s="16">
        <v>0</v>
      </c>
      <c r="AA235" s="16"/>
      <c r="AB235" s="16"/>
      <c r="AC235" s="13"/>
      <c r="AD235" s="13"/>
      <c r="AE235" s="13"/>
      <c r="AF235" s="12"/>
      <c r="AG235" s="12"/>
      <c r="AH235" s="12"/>
      <c r="AI235" s="12"/>
      <c r="AJ235" s="12"/>
      <c r="AK235" s="12"/>
      <c r="AL235" s="12"/>
      <c r="AM235" s="13"/>
      <c r="AN235" s="13"/>
      <c r="AO235" s="13"/>
      <c r="AP235" s="13"/>
      <c r="AQ235" s="12"/>
      <c r="AR235" s="13"/>
      <c r="AS235" s="17"/>
    </row>
    <row r="236" spans="1:45" x14ac:dyDescent="0.25">
      <c r="A236" s="22">
        <v>45805</v>
      </c>
      <c r="B236" s="10" t="str">
        <f t="shared" si="96"/>
        <v>2025</v>
      </c>
      <c r="C236" s="10" t="str">
        <f t="shared" si="97"/>
        <v>May</v>
      </c>
      <c r="D236" s="10"/>
      <c r="E236" s="11">
        <v>405</v>
      </c>
      <c r="F236" s="12">
        <v>5467.5</v>
      </c>
      <c r="G236" s="13">
        <v>994.09090909090912</v>
      </c>
      <c r="H236" s="14" t="s">
        <v>31</v>
      </c>
      <c r="I236" s="6">
        <v>0</v>
      </c>
      <c r="J236" s="6">
        <v>57</v>
      </c>
      <c r="K236" s="6"/>
      <c r="L236" s="6">
        <v>2747</v>
      </c>
      <c r="M236" s="6">
        <v>1402</v>
      </c>
      <c r="N236" s="6">
        <v>1345</v>
      </c>
      <c r="O236" s="6"/>
      <c r="P236" s="6">
        <v>1100</v>
      </c>
      <c r="Q236" s="6">
        <v>0</v>
      </c>
      <c r="R236" s="6">
        <v>1908</v>
      </c>
      <c r="S236" s="6">
        <v>0</v>
      </c>
      <c r="T236" s="6">
        <v>0</v>
      </c>
      <c r="U236" s="14" t="s">
        <v>56</v>
      </c>
      <c r="V236" s="14" t="s">
        <v>47</v>
      </c>
      <c r="W236" s="6">
        <v>10</v>
      </c>
      <c r="X236" s="6">
        <v>5.5</v>
      </c>
      <c r="Y236" s="15">
        <v>0.6470588235294118</v>
      </c>
      <c r="Z236" s="16">
        <v>0.55000000000000004</v>
      </c>
      <c r="AA236" s="16"/>
      <c r="AB236" s="16"/>
      <c r="AC236" s="13">
        <v>0</v>
      </c>
      <c r="AD236" s="13">
        <v>0</v>
      </c>
      <c r="AE236" s="13">
        <v>499.45454545454544</v>
      </c>
      <c r="AF236" s="12">
        <f t="shared" si="98"/>
        <v>254.90909090909091</v>
      </c>
      <c r="AG236" s="12">
        <f t="shared" si="99"/>
        <v>244.54545454545453</v>
      </c>
      <c r="AH236" s="12">
        <f t="shared" si="100"/>
        <v>0</v>
      </c>
      <c r="AI236" s="12">
        <f t="shared" si="101"/>
        <v>0.25642432556012801</v>
      </c>
      <c r="AJ236" s="12">
        <f t="shared" si="102"/>
        <v>0.24599908550525834</v>
      </c>
      <c r="AK236" s="12">
        <f t="shared" si="103"/>
        <v>0</v>
      </c>
      <c r="AL236" s="12">
        <f t="shared" si="104"/>
        <v>0.50242341106538635</v>
      </c>
      <c r="AM236" s="13">
        <v>346.90909090909093</v>
      </c>
      <c r="AN236" s="13">
        <v>200</v>
      </c>
      <c r="AO236" s="13">
        <v>0</v>
      </c>
      <c r="AP236" s="13">
        <v>0</v>
      </c>
      <c r="AQ236" s="12">
        <v>5755</v>
      </c>
      <c r="AR236" s="13">
        <v>1046.3636363636365</v>
      </c>
      <c r="AS236" s="17" t="s">
        <v>76</v>
      </c>
    </row>
    <row r="237" spans="1:45" x14ac:dyDescent="0.25">
      <c r="A237" s="22">
        <v>45806</v>
      </c>
      <c r="B237" s="10" t="str">
        <f t="shared" si="96"/>
        <v>2025</v>
      </c>
      <c r="C237" s="10" t="str">
        <f t="shared" si="97"/>
        <v>May</v>
      </c>
      <c r="D237" s="10"/>
      <c r="E237" s="11">
        <v>597</v>
      </c>
      <c r="F237" s="12">
        <v>8059.5</v>
      </c>
      <c r="G237" s="13">
        <v>948.17647058823525</v>
      </c>
      <c r="H237" s="14" t="s">
        <v>31</v>
      </c>
      <c r="I237" s="6">
        <v>0</v>
      </c>
      <c r="J237" s="6">
        <v>57</v>
      </c>
      <c r="K237" s="6"/>
      <c r="L237" s="6">
        <v>4139</v>
      </c>
      <c r="M237" s="6">
        <v>2155</v>
      </c>
      <c r="N237" s="6">
        <v>1984</v>
      </c>
      <c r="O237" s="6"/>
      <c r="P237" s="6">
        <v>1700</v>
      </c>
      <c r="Q237" s="6">
        <v>0</v>
      </c>
      <c r="R237" s="6">
        <v>2591</v>
      </c>
      <c r="S237" s="6">
        <v>0</v>
      </c>
      <c r="T237" s="6">
        <v>0</v>
      </c>
      <c r="U237" s="14" t="s">
        <v>56</v>
      </c>
      <c r="V237" s="14" t="s">
        <v>47</v>
      </c>
      <c r="W237" s="6">
        <v>10</v>
      </c>
      <c r="X237" s="6">
        <v>8.5</v>
      </c>
      <c r="Y237" s="15">
        <v>1</v>
      </c>
      <c r="Z237" s="16">
        <v>0.85</v>
      </c>
      <c r="AA237" s="16"/>
      <c r="AB237" s="16"/>
      <c r="AC237" s="13">
        <v>0</v>
      </c>
      <c r="AD237" s="13">
        <v>0</v>
      </c>
      <c r="AE237" s="13">
        <v>486.94117647058823</v>
      </c>
      <c r="AF237" s="12">
        <f t="shared" si="98"/>
        <v>253.52941176470588</v>
      </c>
      <c r="AG237" s="12">
        <f t="shared" si="99"/>
        <v>233.41176470588235</v>
      </c>
      <c r="AH237" s="12">
        <f t="shared" si="100"/>
        <v>0</v>
      </c>
      <c r="AI237" s="12">
        <f t="shared" si="101"/>
        <v>0.26738631428748683</v>
      </c>
      <c r="AJ237" s="12">
        <f t="shared" si="102"/>
        <v>0.24616911719089274</v>
      </c>
      <c r="AK237" s="12">
        <f t="shared" si="103"/>
        <v>0</v>
      </c>
      <c r="AL237" s="12">
        <f t="shared" si="104"/>
        <v>0.51355543147837956</v>
      </c>
      <c r="AM237" s="13">
        <v>304.8235294117647</v>
      </c>
      <c r="AN237" s="13">
        <v>200</v>
      </c>
      <c r="AO237" s="13">
        <v>0</v>
      </c>
      <c r="AP237" s="13">
        <v>0</v>
      </c>
      <c r="AQ237" s="12">
        <v>8430</v>
      </c>
      <c r="AR237" s="13">
        <v>991.76470588235293</v>
      </c>
      <c r="AS237" s="17" t="s">
        <v>77</v>
      </c>
    </row>
    <row r="238" spans="1:45" x14ac:dyDescent="0.25">
      <c r="A238" s="22">
        <v>45807</v>
      </c>
      <c r="B238" s="10" t="str">
        <f t="shared" si="96"/>
        <v>2025</v>
      </c>
      <c r="C238" s="10" t="str">
        <f t="shared" si="97"/>
        <v>May</v>
      </c>
      <c r="D238" s="10"/>
      <c r="E238" s="11"/>
      <c r="F238" s="12"/>
      <c r="G238" s="13"/>
      <c r="H238" s="14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14"/>
      <c r="V238" s="14"/>
      <c r="W238" s="6"/>
      <c r="X238" s="6"/>
      <c r="Y238" s="15"/>
      <c r="Z238" s="16">
        <v>0</v>
      </c>
      <c r="AA238" s="16"/>
      <c r="AB238" s="16"/>
      <c r="AC238" s="13"/>
      <c r="AD238" s="13"/>
      <c r="AE238" s="13"/>
      <c r="AF238" s="12"/>
      <c r="AG238" s="12"/>
      <c r="AH238" s="12"/>
      <c r="AI238" s="12"/>
      <c r="AJ238" s="12"/>
      <c r="AK238" s="12"/>
      <c r="AL238" s="12"/>
      <c r="AM238" s="13"/>
      <c r="AN238" s="13"/>
      <c r="AO238" s="13"/>
      <c r="AP238" s="13"/>
      <c r="AQ238" s="12"/>
      <c r="AR238" s="13"/>
      <c r="AS238" s="17"/>
    </row>
    <row r="239" spans="1:45" x14ac:dyDescent="0.25">
      <c r="A239" s="22">
        <v>45808</v>
      </c>
      <c r="B239" s="10" t="str">
        <f t="shared" si="96"/>
        <v>2025</v>
      </c>
      <c r="C239" s="10" t="str">
        <f t="shared" si="97"/>
        <v>May</v>
      </c>
      <c r="D239" s="10"/>
      <c r="E239" s="11">
        <v>496</v>
      </c>
      <c r="F239" s="12">
        <v>6696</v>
      </c>
      <c r="G239" s="13">
        <v>930</v>
      </c>
      <c r="H239" s="14" t="s">
        <v>31</v>
      </c>
      <c r="I239" s="6">
        <v>0</v>
      </c>
      <c r="J239" s="6">
        <v>57</v>
      </c>
      <c r="K239" s="6"/>
      <c r="L239" s="6">
        <v>4683</v>
      </c>
      <c r="M239" s="6">
        <v>2340</v>
      </c>
      <c r="N239" s="6">
        <v>2343</v>
      </c>
      <c r="O239" s="6"/>
      <c r="P239" s="6">
        <v>2743</v>
      </c>
      <c r="Q239" s="6">
        <v>0</v>
      </c>
      <c r="R239" s="6">
        <v>0</v>
      </c>
      <c r="S239" s="6">
        <v>0</v>
      </c>
      <c r="T239" s="6">
        <v>0</v>
      </c>
      <c r="U239" s="14" t="s">
        <v>56</v>
      </c>
      <c r="V239" s="14" t="s">
        <v>47</v>
      </c>
      <c r="W239" s="6">
        <v>8</v>
      </c>
      <c r="X239" s="6">
        <v>7.2</v>
      </c>
      <c r="Y239" s="15">
        <v>1.0588235294117647</v>
      </c>
      <c r="Z239" s="16">
        <v>0.9</v>
      </c>
      <c r="AA239" s="16"/>
      <c r="AB239" s="16"/>
      <c r="AC239" s="13">
        <v>0</v>
      </c>
      <c r="AD239" s="13">
        <v>0</v>
      </c>
      <c r="AE239" s="13">
        <v>650.41666666666663</v>
      </c>
      <c r="AF239" s="12">
        <f t="shared" si="98"/>
        <v>325</v>
      </c>
      <c r="AG239" s="12">
        <f t="shared" si="99"/>
        <v>325.41666666666669</v>
      </c>
      <c r="AH239" s="12">
        <f t="shared" si="100"/>
        <v>0</v>
      </c>
      <c r="AI239" s="12">
        <f t="shared" si="101"/>
        <v>0.34946236559139787</v>
      </c>
      <c r="AJ239" s="12">
        <f t="shared" si="102"/>
        <v>0.34991039426523296</v>
      </c>
      <c r="AK239" s="12">
        <f t="shared" si="103"/>
        <v>0</v>
      </c>
      <c r="AL239" s="12">
        <f t="shared" si="104"/>
        <v>0.69937275985663083</v>
      </c>
      <c r="AM239" s="13">
        <v>0</v>
      </c>
      <c r="AN239" s="13">
        <v>380.97222222222223</v>
      </c>
      <c r="AO239" s="13">
        <v>0</v>
      </c>
      <c r="AP239" s="13">
        <v>0</v>
      </c>
      <c r="AQ239" s="12">
        <v>7426</v>
      </c>
      <c r="AR239" s="13">
        <v>1031.3888888888889</v>
      </c>
      <c r="AS239" s="17"/>
    </row>
    <row r="240" spans="1:45" x14ac:dyDescent="0.25">
      <c r="A240" s="22">
        <v>45809</v>
      </c>
      <c r="B240" s="10" t="str">
        <f t="shared" si="96"/>
        <v>2025</v>
      </c>
      <c r="C240" s="10" t="str">
        <f t="shared" si="97"/>
        <v>June</v>
      </c>
      <c r="D240" s="10"/>
      <c r="E240" s="11"/>
      <c r="F240" s="12"/>
      <c r="G240" s="13"/>
      <c r="H240" s="14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14"/>
      <c r="V240" s="14"/>
      <c r="W240" s="6"/>
      <c r="X240" s="6"/>
      <c r="Y240" s="15"/>
      <c r="Z240" s="16">
        <v>0</v>
      </c>
      <c r="AA240" s="16"/>
      <c r="AB240" s="16"/>
      <c r="AC240" s="13"/>
      <c r="AD240" s="13"/>
      <c r="AE240" s="13"/>
      <c r="AF240" s="12"/>
      <c r="AG240" s="12"/>
      <c r="AH240" s="12"/>
      <c r="AI240" s="12"/>
      <c r="AJ240" s="12"/>
      <c r="AK240" s="12"/>
      <c r="AL240" s="12"/>
      <c r="AM240" s="13"/>
      <c r="AN240" s="13"/>
      <c r="AO240" s="13"/>
      <c r="AP240" s="13"/>
      <c r="AQ240" s="12"/>
      <c r="AR240" s="13"/>
      <c r="AS240" s="17"/>
    </row>
    <row r="241" spans="1:45" x14ac:dyDescent="0.25">
      <c r="A241" s="22">
        <v>45811</v>
      </c>
      <c r="B241" s="10" t="str">
        <f t="shared" si="96"/>
        <v>2025</v>
      </c>
      <c r="C241" s="10" t="str">
        <f t="shared" si="97"/>
        <v>June</v>
      </c>
      <c r="D241" s="10"/>
      <c r="E241" s="11">
        <v>870</v>
      </c>
      <c r="F241" s="12">
        <v>11745</v>
      </c>
      <c r="G241" s="13">
        <v>1198.4693877551019</v>
      </c>
      <c r="H241" s="14" t="s">
        <v>31</v>
      </c>
      <c r="I241" s="6">
        <v>0</v>
      </c>
      <c r="J241" s="6">
        <v>57</v>
      </c>
      <c r="K241" s="6"/>
      <c r="L241" s="6">
        <v>7218</v>
      </c>
      <c r="M241" s="6">
        <v>3113</v>
      </c>
      <c r="N241" s="6">
        <v>4105</v>
      </c>
      <c r="O241" s="6"/>
      <c r="P241" s="6">
        <v>1960</v>
      </c>
      <c r="Q241" s="6">
        <v>0</v>
      </c>
      <c r="R241" s="6">
        <v>1743</v>
      </c>
      <c r="S241" s="6">
        <v>0</v>
      </c>
      <c r="T241" s="6">
        <v>0</v>
      </c>
      <c r="U241" s="14" t="s">
        <v>56</v>
      </c>
      <c r="V241" s="14" t="s">
        <v>47</v>
      </c>
      <c r="W241" s="6">
        <v>12</v>
      </c>
      <c r="X241" s="6">
        <v>9.8000000000000007</v>
      </c>
      <c r="Y241" s="15">
        <v>0.96078431372549034</v>
      </c>
      <c r="Z241" s="16">
        <v>0.81666666666666676</v>
      </c>
      <c r="AA241" s="16"/>
      <c r="AB241" s="16"/>
      <c r="AC241" s="13">
        <v>0</v>
      </c>
      <c r="AD241" s="13">
        <v>0</v>
      </c>
      <c r="AE241" s="13">
        <v>736.53061224489795</v>
      </c>
      <c r="AF241" s="12">
        <f t="shared" si="98"/>
        <v>317.65306122448976</v>
      </c>
      <c r="AG241" s="12">
        <f t="shared" si="99"/>
        <v>418.87755102040813</v>
      </c>
      <c r="AH241" s="12">
        <f t="shared" si="100"/>
        <v>0</v>
      </c>
      <c r="AI241" s="12">
        <f t="shared" si="101"/>
        <v>0.26504895700297998</v>
      </c>
      <c r="AJ241" s="12">
        <f t="shared" si="102"/>
        <v>0.3495104299702001</v>
      </c>
      <c r="AK241" s="12">
        <f t="shared" si="103"/>
        <v>0</v>
      </c>
      <c r="AL241" s="12">
        <f t="shared" si="104"/>
        <v>0.61455938697318002</v>
      </c>
      <c r="AM241" s="13">
        <v>177.85714285714283</v>
      </c>
      <c r="AN241" s="13">
        <v>199.99999999999997</v>
      </c>
      <c r="AO241" s="13">
        <v>0</v>
      </c>
      <c r="AP241" s="13">
        <v>0</v>
      </c>
      <c r="AQ241" s="12">
        <v>10921</v>
      </c>
      <c r="AR241" s="13">
        <v>1114.3877551020407</v>
      </c>
      <c r="AS241" s="17" t="s">
        <v>72</v>
      </c>
    </row>
    <row r="242" spans="1:45" x14ac:dyDescent="0.25">
      <c r="A242" s="22">
        <v>45812</v>
      </c>
      <c r="B242" s="10" t="str">
        <f t="shared" si="96"/>
        <v>2025</v>
      </c>
      <c r="C242" s="10" t="str">
        <f t="shared" si="97"/>
        <v>June</v>
      </c>
      <c r="D242" s="10"/>
      <c r="E242" s="11"/>
      <c r="F242" s="12"/>
      <c r="G242" s="13"/>
      <c r="H242" s="14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14"/>
      <c r="V242" s="14"/>
      <c r="W242" s="6"/>
      <c r="X242" s="6"/>
      <c r="Y242" s="15"/>
      <c r="Z242" s="16">
        <v>0</v>
      </c>
      <c r="AA242" s="16"/>
      <c r="AB242" s="16"/>
      <c r="AC242" s="13"/>
      <c r="AD242" s="13"/>
      <c r="AE242" s="13"/>
      <c r="AF242" s="12"/>
      <c r="AG242" s="12"/>
      <c r="AH242" s="12"/>
      <c r="AI242" s="12"/>
      <c r="AJ242" s="12"/>
      <c r="AK242" s="12"/>
      <c r="AL242" s="12"/>
      <c r="AM242" s="13"/>
      <c r="AN242" s="13"/>
      <c r="AO242" s="13"/>
      <c r="AP242" s="13"/>
      <c r="AQ242" s="12"/>
      <c r="AR242" s="13"/>
      <c r="AS242" s="17"/>
    </row>
    <row r="243" spans="1:45" x14ac:dyDescent="0.25">
      <c r="A243" s="22">
        <v>45813</v>
      </c>
      <c r="B243" s="10" t="str">
        <f t="shared" si="96"/>
        <v>2025</v>
      </c>
      <c r="C243" s="10" t="str">
        <f t="shared" si="97"/>
        <v>June</v>
      </c>
      <c r="D243" s="10"/>
      <c r="E243" s="11"/>
      <c r="F243" s="12"/>
      <c r="G243" s="13"/>
      <c r="H243" s="14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14"/>
      <c r="V243" s="14"/>
      <c r="W243" s="6"/>
      <c r="X243" s="6"/>
      <c r="Y243" s="15"/>
      <c r="Z243" s="16">
        <v>0</v>
      </c>
      <c r="AA243" s="16"/>
      <c r="AB243" s="16"/>
      <c r="AC243" s="13"/>
      <c r="AD243" s="13"/>
      <c r="AE243" s="13"/>
      <c r="AF243" s="12"/>
      <c r="AG243" s="12"/>
      <c r="AH243" s="12"/>
      <c r="AI243" s="12"/>
      <c r="AJ243" s="12"/>
      <c r="AK243" s="12"/>
      <c r="AL243" s="12"/>
      <c r="AM243" s="13"/>
      <c r="AN243" s="13"/>
      <c r="AO243" s="13"/>
      <c r="AP243" s="13"/>
      <c r="AQ243" s="12"/>
      <c r="AR243" s="13"/>
      <c r="AS243" s="17"/>
    </row>
    <row r="244" spans="1:45" x14ac:dyDescent="0.25">
      <c r="A244" s="22">
        <v>45814</v>
      </c>
      <c r="B244" s="10" t="str">
        <f t="shared" si="96"/>
        <v>2025</v>
      </c>
      <c r="C244" s="10" t="str">
        <f t="shared" si="97"/>
        <v>June</v>
      </c>
      <c r="D244" s="10"/>
      <c r="E244" s="11"/>
      <c r="F244" s="12"/>
      <c r="G244" s="13"/>
      <c r="H244" s="14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14"/>
      <c r="V244" s="14"/>
      <c r="W244" s="6"/>
      <c r="X244" s="6"/>
      <c r="Y244" s="15"/>
      <c r="Z244" s="16">
        <v>0</v>
      </c>
      <c r="AA244" s="16"/>
      <c r="AB244" s="16"/>
      <c r="AC244" s="13"/>
      <c r="AD244" s="13"/>
      <c r="AE244" s="13"/>
      <c r="AF244" s="12"/>
      <c r="AG244" s="12"/>
      <c r="AH244" s="12"/>
      <c r="AI244" s="12"/>
      <c r="AJ244" s="12"/>
      <c r="AK244" s="12"/>
      <c r="AL244" s="12"/>
      <c r="AM244" s="13"/>
      <c r="AN244" s="13"/>
      <c r="AO244" s="13"/>
      <c r="AP244" s="13"/>
      <c r="AQ244" s="12"/>
      <c r="AR244" s="13"/>
      <c r="AS244" s="17"/>
    </row>
    <row r="245" spans="1:45" x14ac:dyDescent="0.25">
      <c r="A245" s="22">
        <v>45817</v>
      </c>
      <c r="B245" s="10" t="str">
        <f t="shared" si="96"/>
        <v>2025</v>
      </c>
      <c r="C245" s="10" t="str">
        <f t="shared" si="97"/>
        <v>June</v>
      </c>
      <c r="D245" s="10"/>
      <c r="E245" s="11">
        <v>369</v>
      </c>
      <c r="F245" s="12">
        <v>4981.5</v>
      </c>
      <c r="G245" s="13">
        <v>905.72727272727275</v>
      </c>
      <c r="H245" s="14" t="s">
        <v>31</v>
      </c>
      <c r="I245" s="6">
        <v>0</v>
      </c>
      <c r="J245" s="6">
        <v>57</v>
      </c>
      <c r="K245" s="6"/>
      <c r="L245" s="6">
        <v>2617</v>
      </c>
      <c r="M245" s="6">
        <v>1080</v>
      </c>
      <c r="N245" s="6">
        <v>1537</v>
      </c>
      <c r="O245" s="6"/>
      <c r="P245" s="6">
        <v>1100</v>
      </c>
      <c r="Q245" s="6">
        <v>0</v>
      </c>
      <c r="R245" s="6">
        <v>1591</v>
      </c>
      <c r="S245" s="6">
        <v>0</v>
      </c>
      <c r="T245" s="6">
        <v>0</v>
      </c>
      <c r="U245" s="14" t="s">
        <v>56</v>
      </c>
      <c r="V245" s="14" t="s">
        <v>47</v>
      </c>
      <c r="W245" s="6">
        <v>8</v>
      </c>
      <c r="X245" s="6">
        <v>5.5</v>
      </c>
      <c r="Y245" s="15">
        <v>0.80882352941176472</v>
      </c>
      <c r="Z245" s="16">
        <v>0.6875</v>
      </c>
      <c r="AA245" s="16"/>
      <c r="AB245" s="16"/>
      <c r="AC245" s="13">
        <v>0</v>
      </c>
      <c r="AD245" s="13">
        <v>0</v>
      </c>
      <c r="AE245" s="13">
        <v>475.81818181818181</v>
      </c>
      <c r="AF245" s="12">
        <f t="shared" si="98"/>
        <v>196.36363636363637</v>
      </c>
      <c r="AG245" s="12">
        <f t="shared" si="99"/>
        <v>279.45454545454544</v>
      </c>
      <c r="AH245" s="12">
        <f t="shared" si="100"/>
        <v>0</v>
      </c>
      <c r="AI245" s="12">
        <f t="shared" si="101"/>
        <v>0.21680216802168023</v>
      </c>
      <c r="AJ245" s="12">
        <f t="shared" si="102"/>
        <v>0.30854160393455787</v>
      </c>
      <c r="AK245" s="12">
        <f t="shared" si="103"/>
        <v>0</v>
      </c>
      <c r="AL245" s="12">
        <f t="shared" si="104"/>
        <v>0.52534377195623816</v>
      </c>
      <c r="AM245" s="13">
        <v>289.27272727272725</v>
      </c>
      <c r="AN245" s="13">
        <v>200</v>
      </c>
      <c r="AO245" s="13">
        <v>0</v>
      </c>
      <c r="AP245" s="13">
        <v>0</v>
      </c>
      <c r="AQ245" s="12">
        <v>5308</v>
      </c>
      <c r="AR245" s="13">
        <v>965.09090909090901</v>
      </c>
      <c r="AS245" s="17" t="s">
        <v>78</v>
      </c>
    </row>
    <row r="246" spans="1:45" x14ac:dyDescent="0.25">
      <c r="A246" s="22">
        <v>45818</v>
      </c>
      <c r="B246" s="10" t="str">
        <f t="shared" si="96"/>
        <v>2025</v>
      </c>
      <c r="C246" s="10" t="str">
        <f t="shared" si="97"/>
        <v>June</v>
      </c>
      <c r="D246" s="10"/>
      <c r="E246" s="11"/>
      <c r="F246" s="12"/>
      <c r="G246" s="13"/>
      <c r="H246" s="14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14"/>
      <c r="V246" s="14"/>
      <c r="W246" s="6"/>
      <c r="X246" s="6"/>
      <c r="Y246" s="15"/>
      <c r="Z246" s="16">
        <v>0</v>
      </c>
      <c r="AA246" s="16"/>
      <c r="AB246" s="16"/>
      <c r="AC246" s="13"/>
      <c r="AD246" s="13"/>
      <c r="AE246" s="13"/>
      <c r="AF246" s="12"/>
      <c r="AG246" s="12"/>
      <c r="AH246" s="12"/>
      <c r="AI246" s="12"/>
      <c r="AJ246" s="12"/>
      <c r="AK246" s="12"/>
      <c r="AL246" s="12"/>
      <c r="AM246" s="13"/>
      <c r="AN246" s="13"/>
      <c r="AO246" s="13"/>
      <c r="AP246" s="13"/>
      <c r="AQ246" s="12"/>
      <c r="AR246" s="13"/>
      <c r="AS246" s="17"/>
    </row>
    <row r="247" spans="1:45" x14ac:dyDescent="0.25">
      <c r="A247" s="22">
        <v>45819</v>
      </c>
      <c r="B247" s="10" t="str">
        <f t="shared" si="96"/>
        <v>2025</v>
      </c>
      <c r="C247" s="10" t="str">
        <f t="shared" si="97"/>
        <v>June</v>
      </c>
      <c r="D247" s="10"/>
      <c r="E247" s="11">
        <v>620</v>
      </c>
      <c r="F247" s="12">
        <v>8370</v>
      </c>
      <c r="G247" s="13">
        <v>984.70588235294122</v>
      </c>
      <c r="H247" s="14" t="s">
        <v>31</v>
      </c>
      <c r="I247" s="6">
        <v>0</v>
      </c>
      <c r="J247" s="6">
        <v>57</v>
      </c>
      <c r="K247" s="6"/>
      <c r="L247" s="6">
        <v>4484</v>
      </c>
      <c r="M247" s="6">
        <v>2042</v>
      </c>
      <c r="N247" s="6">
        <v>2442</v>
      </c>
      <c r="O247" s="6"/>
      <c r="P247" s="6">
        <v>1700</v>
      </c>
      <c r="Q247" s="6">
        <v>0</v>
      </c>
      <c r="R247" s="6">
        <v>2906</v>
      </c>
      <c r="S247" s="6">
        <v>0</v>
      </c>
      <c r="T247" s="6">
        <v>0</v>
      </c>
      <c r="U247" s="14" t="s">
        <v>56</v>
      </c>
      <c r="V247" s="14" t="s">
        <v>47</v>
      </c>
      <c r="W247" s="6">
        <v>12</v>
      </c>
      <c r="X247" s="6">
        <v>8.5</v>
      </c>
      <c r="Y247" s="15">
        <v>0.83333333333333337</v>
      </c>
      <c r="Z247" s="16">
        <v>0.70833333333333337</v>
      </c>
      <c r="AA247" s="16"/>
      <c r="AB247" s="16"/>
      <c r="AC247" s="13">
        <v>0</v>
      </c>
      <c r="AD247" s="13">
        <v>0</v>
      </c>
      <c r="AE247" s="13">
        <v>527.52941176470586</v>
      </c>
      <c r="AF247" s="12">
        <f t="shared" si="98"/>
        <v>240.23529411764707</v>
      </c>
      <c r="AG247" s="12">
        <f t="shared" si="99"/>
        <v>287.29411764705884</v>
      </c>
      <c r="AH247" s="12">
        <f t="shared" si="100"/>
        <v>0</v>
      </c>
      <c r="AI247" s="12">
        <f t="shared" si="101"/>
        <v>0.24396654719235364</v>
      </c>
      <c r="AJ247" s="12">
        <f t="shared" si="102"/>
        <v>0.2917562724014337</v>
      </c>
      <c r="AK247" s="12">
        <f t="shared" si="103"/>
        <v>0</v>
      </c>
      <c r="AL247" s="12">
        <f t="shared" si="104"/>
        <v>0.53572281959378731</v>
      </c>
      <c r="AM247" s="13">
        <v>341.88235294117646</v>
      </c>
      <c r="AN247" s="13">
        <v>200</v>
      </c>
      <c r="AO247" s="13">
        <v>0</v>
      </c>
      <c r="AP247" s="13">
        <v>0</v>
      </c>
      <c r="AQ247" s="12">
        <v>9090</v>
      </c>
      <c r="AR247" s="13">
        <v>1069.4117647058824</v>
      </c>
      <c r="AS247" s="17" t="s">
        <v>79</v>
      </c>
    </row>
    <row r="248" spans="1:45" x14ac:dyDescent="0.25">
      <c r="A248" s="22">
        <v>45820</v>
      </c>
      <c r="B248" s="10" t="str">
        <f t="shared" si="96"/>
        <v>2025</v>
      </c>
      <c r="C248" s="10" t="str">
        <f t="shared" si="97"/>
        <v>June</v>
      </c>
      <c r="D248" s="10"/>
      <c r="E248" s="11">
        <v>602</v>
      </c>
      <c r="F248" s="12">
        <v>8127</v>
      </c>
      <c r="G248" s="13">
        <v>956.11764705882354</v>
      </c>
      <c r="H248" s="14" t="s">
        <v>31</v>
      </c>
      <c r="I248" s="6">
        <v>0</v>
      </c>
      <c r="J248" s="6">
        <v>57</v>
      </c>
      <c r="K248" s="6"/>
      <c r="L248" s="6">
        <v>4373</v>
      </c>
      <c r="M248" s="6">
        <v>2650</v>
      </c>
      <c r="N248" s="6">
        <v>1723</v>
      </c>
      <c r="O248" s="6"/>
      <c r="P248" s="6">
        <v>1700</v>
      </c>
      <c r="Q248" s="6">
        <v>0</v>
      </c>
      <c r="R248" s="6">
        <v>3013</v>
      </c>
      <c r="S248" s="6">
        <v>0</v>
      </c>
      <c r="T248" s="6">
        <v>0</v>
      </c>
      <c r="U248" s="14" t="s">
        <v>56</v>
      </c>
      <c r="V248" s="14" t="s">
        <v>47</v>
      </c>
      <c r="W248" s="6">
        <v>10</v>
      </c>
      <c r="X248" s="6">
        <v>8.5</v>
      </c>
      <c r="Y248" s="15">
        <v>1</v>
      </c>
      <c r="Z248" s="16">
        <v>0.85</v>
      </c>
      <c r="AA248" s="16"/>
      <c r="AB248" s="16"/>
      <c r="AC248" s="13">
        <v>0</v>
      </c>
      <c r="AD248" s="13">
        <v>0</v>
      </c>
      <c r="AE248" s="13">
        <v>514.47058823529414</v>
      </c>
      <c r="AF248" s="12">
        <f t="shared" si="98"/>
        <v>311.76470588235293</v>
      </c>
      <c r="AG248" s="12">
        <f t="shared" si="99"/>
        <v>202.70588235294119</v>
      </c>
      <c r="AH248" s="12">
        <f t="shared" si="100"/>
        <v>0</v>
      </c>
      <c r="AI248" s="12">
        <f t="shared" si="101"/>
        <v>0.32607358188753538</v>
      </c>
      <c r="AJ248" s="12">
        <f t="shared" si="102"/>
        <v>0.21200935154423525</v>
      </c>
      <c r="AK248" s="12">
        <f t="shared" si="103"/>
        <v>0</v>
      </c>
      <c r="AL248" s="12">
        <f t="shared" si="104"/>
        <v>0.5380829334317706</v>
      </c>
      <c r="AM248" s="13">
        <v>354.47058823529414</v>
      </c>
      <c r="AN248" s="13">
        <v>200</v>
      </c>
      <c r="AO248" s="13">
        <v>0</v>
      </c>
      <c r="AP248" s="13">
        <v>0</v>
      </c>
      <c r="AQ248" s="12">
        <v>9086</v>
      </c>
      <c r="AR248" s="13">
        <v>1068.9411764705883</v>
      </c>
      <c r="AS248" s="17" t="s">
        <v>80</v>
      </c>
    </row>
    <row r="249" spans="1:45" x14ac:dyDescent="0.25">
      <c r="A249" s="22">
        <v>45821</v>
      </c>
      <c r="B249" s="10" t="str">
        <f t="shared" si="96"/>
        <v>2025</v>
      </c>
      <c r="C249" s="10" t="str">
        <f t="shared" si="97"/>
        <v>June</v>
      </c>
      <c r="D249" s="10"/>
      <c r="E249" s="11">
        <v>679</v>
      </c>
      <c r="F249" s="12">
        <v>9166.5</v>
      </c>
      <c r="G249" s="13">
        <v>964.89473684210532</v>
      </c>
      <c r="H249" s="14" t="s">
        <v>31</v>
      </c>
      <c r="I249" s="6">
        <v>0</v>
      </c>
      <c r="J249" s="6">
        <v>57</v>
      </c>
      <c r="K249" s="6"/>
      <c r="L249" s="6">
        <v>4748</v>
      </c>
      <c r="M249" s="6">
        <v>2827</v>
      </c>
      <c r="N249" s="6">
        <v>1921</v>
      </c>
      <c r="O249" s="6"/>
      <c r="P249" s="6">
        <v>1900</v>
      </c>
      <c r="Q249" s="6">
        <v>0</v>
      </c>
      <c r="R249" s="6">
        <v>3227</v>
      </c>
      <c r="S249" s="6">
        <v>0</v>
      </c>
      <c r="T249" s="6">
        <v>0</v>
      </c>
      <c r="U249" s="14" t="s">
        <v>81</v>
      </c>
      <c r="V249" s="14" t="s">
        <v>47</v>
      </c>
      <c r="W249" s="6">
        <v>12</v>
      </c>
      <c r="X249" s="6">
        <v>9.5</v>
      </c>
      <c r="Y249" s="15">
        <v>0.93137254901960786</v>
      </c>
      <c r="Z249" s="16">
        <v>0.79166666666666663</v>
      </c>
      <c r="AA249" s="16"/>
      <c r="AB249" s="16"/>
      <c r="AC249" s="13">
        <v>0</v>
      </c>
      <c r="AD249" s="13">
        <v>0</v>
      </c>
      <c r="AE249" s="13">
        <v>499.78947368421052</v>
      </c>
      <c r="AF249" s="12">
        <f t="shared" si="98"/>
        <v>297.57894736842104</v>
      </c>
      <c r="AG249" s="12">
        <f t="shared" si="99"/>
        <v>202.21052631578948</v>
      </c>
      <c r="AH249" s="12">
        <f t="shared" si="100"/>
        <v>0</v>
      </c>
      <c r="AI249" s="12">
        <f t="shared" si="101"/>
        <v>0.30840560737467954</v>
      </c>
      <c r="AJ249" s="12">
        <f t="shared" si="102"/>
        <v>0.20956744668084873</v>
      </c>
      <c r="AK249" s="12">
        <f t="shared" si="103"/>
        <v>0</v>
      </c>
      <c r="AL249" s="12">
        <f t="shared" si="104"/>
        <v>0.51797305405552829</v>
      </c>
      <c r="AM249" s="13">
        <v>339.68421052631578</v>
      </c>
      <c r="AN249" s="13">
        <v>200</v>
      </c>
      <c r="AO249" s="13">
        <v>0</v>
      </c>
      <c r="AP249" s="13">
        <v>0</v>
      </c>
      <c r="AQ249" s="12">
        <v>9875</v>
      </c>
      <c r="AR249" s="13">
        <v>1039.4736842105262</v>
      </c>
      <c r="AS249" s="17" t="s">
        <v>82</v>
      </c>
    </row>
    <row r="250" spans="1:45" x14ac:dyDescent="0.25">
      <c r="A250" s="22">
        <v>45822</v>
      </c>
      <c r="B250" s="10" t="str">
        <f t="shared" si="96"/>
        <v>2025</v>
      </c>
      <c r="C250" s="10" t="str">
        <f t="shared" si="97"/>
        <v>June</v>
      </c>
      <c r="D250" s="10"/>
      <c r="E250" s="11"/>
      <c r="F250" s="12"/>
      <c r="G250" s="13"/>
      <c r="H250" s="14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14"/>
      <c r="V250" s="14"/>
      <c r="W250" s="6"/>
      <c r="X250" s="6"/>
      <c r="Y250" s="15"/>
      <c r="Z250" s="16">
        <v>0</v>
      </c>
      <c r="AA250" s="16"/>
      <c r="AB250" s="16"/>
      <c r="AC250" s="13"/>
      <c r="AD250" s="13"/>
      <c r="AE250" s="13"/>
      <c r="AF250" s="12"/>
      <c r="AG250" s="12"/>
      <c r="AH250" s="12"/>
      <c r="AI250" s="12"/>
      <c r="AJ250" s="12"/>
      <c r="AK250" s="12"/>
      <c r="AL250" s="12"/>
      <c r="AM250" s="13"/>
      <c r="AN250" s="13"/>
      <c r="AO250" s="13"/>
      <c r="AP250" s="13"/>
      <c r="AQ250" s="12"/>
      <c r="AR250" s="13"/>
      <c r="AS250" s="17"/>
    </row>
    <row r="251" spans="1:45" x14ac:dyDescent="0.25">
      <c r="A251" s="22">
        <v>45823</v>
      </c>
      <c r="B251" s="10" t="str">
        <f t="shared" si="96"/>
        <v>2025</v>
      </c>
      <c r="C251" s="10" t="str">
        <f t="shared" si="97"/>
        <v>June</v>
      </c>
      <c r="D251" s="10"/>
      <c r="E251" s="11"/>
      <c r="F251" s="12"/>
      <c r="G251" s="13"/>
      <c r="H251" s="14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14"/>
      <c r="V251" s="14"/>
      <c r="W251" s="6"/>
      <c r="X251" s="6"/>
      <c r="Y251" s="15"/>
      <c r="Z251" s="16">
        <v>0</v>
      </c>
      <c r="AA251" s="16"/>
      <c r="AB251" s="16"/>
      <c r="AC251" s="13"/>
      <c r="AD251" s="13"/>
      <c r="AE251" s="13"/>
      <c r="AF251" s="12"/>
      <c r="AG251" s="12"/>
      <c r="AH251" s="12"/>
      <c r="AI251" s="12"/>
      <c r="AJ251" s="12"/>
      <c r="AK251" s="12"/>
      <c r="AL251" s="12"/>
      <c r="AM251" s="13"/>
      <c r="AN251" s="13"/>
      <c r="AO251" s="13"/>
      <c r="AP251" s="13"/>
      <c r="AQ251" s="12"/>
      <c r="AR251" s="13"/>
      <c r="AS251" s="17"/>
    </row>
    <row r="252" spans="1:45" x14ac:dyDescent="0.25">
      <c r="A252" s="22">
        <v>45827</v>
      </c>
      <c r="B252" s="10" t="str">
        <f t="shared" si="96"/>
        <v>2025</v>
      </c>
      <c r="C252" s="10" t="str">
        <f t="shared" si="97"/>
        <v>June</v>
      </c>
      <c r="D252" s="10"/>
      <c r="E252" s="11">
        <v>457</v>
      </c>
      <c r="F252" s="12">
        <v>6169.5</v>
      </c>
      <c r="G252" s="13">
        <v>1011.3934426229508</v>
      </c>
      <c r="H252" s="14" t="s">
        <v>31</v>
      </c>
      <c r="I252" s="6">
        <v>0</v>
      </c>
      <c r="J252" s="6">
        <v>57</v>
      </c>
      <c r="K252" s="6"/>
      <c r="L252" s="6">
        <v>3949</v>
      </c>
      <c r="M252" s="6">
        <v>2095</v>
      </c>
      <c r="N252" s="6">
        <v>1854</v>
      </c>
      <c r="O252" s="6"/>
      <c r="P252" s="6">
        <v>2318</v>
      </c>
      <c r="Q252" s="6">
        <v>0</v>
      </c>
      <c r="R252" s="6">
        <v>0</v>
      </c>
      <c r="S252" s="6">
        <v>0</v>
      </c>
      <c r="T252" s="6">
        <v>0</v>
      </c>
      <c r="U252" s="14" t="s">
        <v>83</v>
      </c>
      <c r="V252" s="14" t="s">
        <v>84</v>
      </c>
      <c r="W252" s="6">
        <v>7</v>
      </c>
      <c r="X252" s="6">
        <v>6.1</v>
      </c>
      <c r="Y252" s="15">
        <v>1.0252100840336134</v>
      </c>
      <c r="Z252" s="16">
        <v>0.87142857142857133</v>
      </c>
      <c r="AA252" s="16"/>
      <c r="AB252" s="16"/>
      <c r="AC252" s="13">
        <v>0</v>
      </c>
      <c r="AD252" s="13">
        <v>0</v>
      </c>
      <c r="AE252" s="13">
        <v>647.37704918032796</v>
      </c>
      <c r="AF252" s="12">
        <f t="shared" si="98"/>
        <v>343.44262295081967</v>
      </c>
      <c r="AG252" s="12">
        <f t="shared" si="99"/>
        <v>303.93442622950823</v>
      </c>
      <c r="AH252" s="12">
        <f t="shared" si="100"/>
        <v>0</v>
      </c>
      <c r="AI252" s="12">
        <f t="shared" si="101"/>
        <v>0.33957370937677284</v>
      </c>
      <c r="AJ252" s="12">
        <f t="shared" si="102"/>
        <v>0.30051057622173594</v>
      </c>
      <c r="AK252" s="12">
        <f t="shared" si="103"/>
        <v>0</v>
      </c>
      <c r="AL252" s="12">
        <f t="shared" si="104"/>
        <v>0.64008428559850872</v>
      </c>
      <c r="AM252" s="13">
        <v>0</v>
      </c>
      <c r="AN252" s="13">
        <v>380</v>
      </c>
      <c r="AO252" s="13">
        <v>0</v>
      </c>
      <c r="AP252" s="13">
        <v>0</v>
      </c>
      <c r="AQ252" s="12">
        <v>6267</v>
      </c>
      <c r="AR252" s="13">
        <v>1027.377049180328</v>
      </c>
      <c r="AS252" s="17" t="s">
        <v>85</v>
      </c>
    </row>
    <row r="253" spans="1:45" x14ac:dyDescent="0.25">
      <c r="A253" s="22">
        <v>45828</v>
      </c>
      <c r="B253" s="10" t="str">
        <f t="shared" si="96"/>
        <v>2025</v>
      </c>
      <c r="C253" s="10" t="str">
        <f t="shared" si="97"/>
        <v>June</v>
      </c>
      <c r="D253" s="10"/>
      <c r="E253" s="11">
        <v>237</v>
      </c>
      <c r="F253" s="12">
        <v>3199.5</v>
      </c>
      <c r="G253" s="13">
        <v>780.36585365853671</v>
      </c>
      <c r="H253" s="14" t="s">
        <v>31</v>
      </c>
      <c r="I253" s="6">
        <v>0</v>
      </c>
      <c r="J253" s="6">
        <v>57</v>
      </c>
      <c r="K253" s="6"/>
      <c r="L253" s="6">
        <v>2096</v>
      </c>
      <c r="M253" s="6">
        <v>1099</v>
      </c>
      <c r="N253" s="6">
        <v>997</v>
      </c>
      <c r="O253" s="6"/>
      <c r="P253" s="6">
        <v>1558</v>
      </c>
      <c r="Q253" s="6">
        <v>0</v>
      </c>
      <c r="R253" s="6">
        <v>0</v>
      </c>
      <c r="S253" s="6">
        <v>0</v>
      </c>
      <c r="T253" s="6">
        <v>0</v>
      </c>
      <c r="U253" s="14" t="s">
        <v>56</v>
      </c>
      <c r="V253" s="14" t="s">
        <v>84</v>
      </c>
      <c r="W253" s="6">
        <v>10</v>
      </c>
      <c r="X253" s="6">
        <v>4.0999999999999996</v>
      </c>
      <c r="Y253" s="15">
        <v>0.48235294117647054</v>
      </c>
      <c r="Z253" s="16">
        <v>0.41</v>
      </c>
      <c r="AA253" s="16"/>
      <c r="AB253" s="16"/>
      <c r="AC253" s="13">
        <v>0</v>
      </c>
      <c r="AD253" s="13">
        <v>0</v>
      </c>
      <c r="AE253" s="13">
        <v>511.21951219512198</v>
      </c>
      <c r="AF253" s="12">
        <f t="shared" si="98"/>
        <v>268.04878048780489</v>
      </c>
      <c r="AG253" s="12">
        <f t="shared" si="99"/>
        <v>243.17073170731709</v>
      </c>
      <c r="AH253" s="12">
        <f t="shared" si="100"/>
        <v>0</v>
      </c>
      <c r="AI253" s="12">
        <f t="shared" si="101"/>
        <v>0.34349117049538991</v>
      </c>
      <c r="AJ253" s="12">
        <f t="shared" si="102"/>
        <v>0.31161118924832004</v>
      </c>
      <c r="AK253" s="12">
        <f t="shared" si="103"/>
        <v>0</v>
      </c>
      <c r="AL253" s="12">
        <f t="shared" si="104"/>
        <v>0.65510235974371001</v>
      </c>
      <c r="AM253" s="13">
        <v>0</v>
      </c>
      <c r="AN253" s="13">
        <v>380.00000000000006</v>
      </c>
      <c r="AO253" s="13">
        <v>0</v>
      </c>
      <c r="AP253" s="13">
        <v>0</v>
      </c>
      <c r="AQ253" s="12">
        <v>3654</v>
      </c>
      <c r="AR253" s="13">
        <v>891.21951219512198</v>
      </c>
      <c r="AS253" s="17" t="s">
        <v>86</v>
      </c>
    </row>
    <row r="254" spans="1:45" x14ac:dyDescent="0.25">
      <c r="A254" s="22">
        <v>45829</v>
      </c>
      <c r="B254" s="10" t="str">
        <f t="shared" si="96"/>
        <v>2025</v>
      </c>
      <c r="C254" s="10" t="str">
        <f t="shared" si="97"/>
        <v>June</v>
      </c>
      <c r="D254" s="10"/>
      <c r="E254" s="11"/>
      <c r="F254" s="12"/>
      <c r="G254" s="13"/>
      <c r="H254" s="14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14"/>
      <c r="V254" s="14"/>
      <c r="W254" s="6"/>
      <c r="X254" s="6"/>
      <c r="Y254" s="15"/>
      <c r="Z254" s="16">
        <v>0</v>
      </c>
      <c r="AA254" s="16"/>
      <c r="AB254" s="16"/>
      <c r="AC254" s="13"/>
      <c r="AD254" s="13"/>
      <c r="AE254" s="13"/>
      <c r="AF254" s="12"/>
      <c r="AG254" s="12"/>
      <c r="AH254" s="12"/>
      <c r="AI254" s="12"/>
      <c r="AJ254" s="12"/>
      <c r="AK254" s="12"/>
      <c r="AL254" s="12"/>
      <c r="AM254" s="13"/>
      <c r="AN254" s="13"/>
      <c r="AO254" s="13"/>
      <c r="AP254" s="13"/>
      <c r="AQ254" s="12"/>
      <c r="AR254" s="13"/>
      <c r="AS254" s="17"/>
    </row>
    <row r="255" spans="1:45" x14ac:dyDescent="0.25">
      <c r="A255" s="22">
        <v>45830</v>
      </c>
      <c r="B255" s="10" t="str">
        <f t="shared" si="96"/>
        <v>2025</v>
      </c>
      <c r="C255" s="10" t="str">
        <f t="shared" si="97"/>
        <v>June</v>
      </c>
      <c r="D255" s="10"/>
      <c r="E255" s="11"/>
      <c r="F255" s="12"/>
      <c r="G255" s="13"/>
      <c r="H255" s="14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14"/>
      <c r="V255" s="14"/>
      <c r="W255" s="6"/>
      <c r="X255" s="6"/>
      <c r="Y255" s="15"/>
      <c r="Z255" s="16">
        <v>0</v>
      </c>
      <c r="AA255" s="16"/>
      <c r="AB255" s="16"/>
      <c r="AC255" s="13"/>
      <c r="AD255" s="13"/>
      <c r="AE255" s="13"/>
      <c r="AF255" s="12"/>
      <c r="AG255" s="12"/>
      <c r="AH255" s="12"/>
      <c r="AI255" s="12"/>
      <c r="AJ255" s="12"/>
      <c r="AK255" s="12"/>
      <c r="AL255" s="12"/>
      <c r="AM255" s="13"/>
      <c r="AN255" s="13"/>
      <c r="AO255" s="13"/>
      <c r="AP255" s="13"/>
      <c r="AQ255" s="12"/>
      <c r="AR255" s="13"/>
      <c r="AS255" s="17"/>
    </row>
    <row r="256" spans="1:45" x14ac:dyDescent="0.25">
      <c r="A256" s="22">
        <v>45833</v>
      </c>
      <c r="B256" s="10" t="str">
        <f t="shared" si="96"/>
        <v>2025</v>
      </c>
      <c r="C256" s="10" t="str">
        <f t="shared" si="97"/>
        <v>June</v>
      </c>
      <c r="D256" s="10"/>
      <c r="E256" s="11">
        <v>409</v>
      </c>
      <c r="F256" s="12">
        <v>5521.5</v>
      </c>
      <c r="G256" s="13">
        <v>1061.8269230769231</v>
      </c>
      <c r="H256" s="14" t="s">
        <v>31</v>
      </c>
      <c r="I256" s="6">
        <v>0</v>
      </c>
      <c r="J256" s="6">
        <v>57</v>
      </c>
      <c r="K256" s="6"/>
      <c r="L256" s="6">
        <v>3530</v>
      </c>
      <c r="M256" s="6">
        <v>1334</v>
      </c>
      <c r="N256" s="6">
        <v>2196</v>
      </c>
      <c r="O256" s="6"/>
      <c r="P256" s="6">
        <v>1995</v>
      </c>
      <c r="Q256" s="6">
        <v>0</v>
      </c>
      <c r="R256" s="6">
        <v>0</v>
      </c>
      <c r="S256" s="6">
        <v>0</v>
      </c>
      <c r="T256" s="6">
        <v>0</v>
      </c>
      <c r="U256" s="14" t="s">
        <v>56</v>
      </c>
      <c r="V256" s="14" t="s">
        <v>84</v>
      </c>
      <c r="W256" s="6">
        <v>10</v>
      </c>
      <c r="X256" s="6">
        <v>5.2</v>
      </c>
      <c r="Y256" s="15">
        <v>0.61176470588235299</v>
      </c>
      <c r="Z256" s="16">
        <v>0.52</v>
      </c>
      <c r="AA256" s="16"/>
      <c r="AB256" s="16"/>
      <c r="AC256" s="13">
        <v>0</v>
      </c>
      <c r="AD256" s="13">
        <v>0</v>
      </c>
      <c r="AE256" s="13">
        <v>678.84615384615381</v>
      </c>
      <c r="AF256" s="12">
        <f t="shared" si="98"/>
        <v>256.53846153846155</v>
      </c>
      <c r="AG256" s="12">
        <f t="shared" si="99"/>
        <v>422.30769230769232</v>
      </c>
      <c r="AH256" s="12">
        <f t="shared" si="100"/>
        <v>0</v>
      </c>
      <c r="AI256" s="12">
        <f t="shared" si="101"/>
        <v>0.24160101421715113</v>
      </c>
      <c r="AJ256" s="12">
        <f t="shared" si="102"/>
        <v>0.39771801140994295</v>
      </c>
      <c r="AK256" s="12">
        <f t="shared" si="103"/>
        <v>0</v>
      </c>
      <c r="AL256" s="12">
        <f t="shared" si="104"/>
        <v>0.63931902562709408</v>
      </c>
      <c r="AM256" s="13">
        <v>0</v>
      </c>
      <c r="AN256" s="13">
        <v>383.65384615384613</v>
      </c>
      <c r="AO256" s="13">
        <v>0</v>
      </c>
      <c r="AP256" s="13">
        <v>0</v>
      </c>
      <c r="AQ256" s="12">
        <v>5525</v>
      </c>
      <c r="AR256" s="13">
        <v>1062.5</v>
      </c>
      <c r="AS256" s="17" t="s">
        <v>87</v>
      </c>
    </row>
    <row r="257" spans="1:45" x14ac:dyDescent="0.25">
      <c r="A257" s="22">
        <v>45834</v>
      </c>
      <c r="B257" s="10" t="str">
        <f t="shared" si="96"/>
        <v>2025</v>
      </c>
      <c r="C257" s="10" t="str">
        <f t="shared" si="97"/>
        <v>June</v>
      </c>
      <c r="D257" s="10"/>
      <c r="E257" s="11">
        <v>178</v>
      </c>
      <c r="F257" s="12">
        <v>2403</v>
      </c>
      <c r="G257" s="13">
        <v>632.36842105263156</v>
      </c>
      <c r="H257" s="14" t="s">
        <v>31</v>
      </c>
      <c r="I257" s="6">
        <v>0</v>
      </c>
      <c r="J257" s="6">
        <v>57</v>
      </c>
      <c r="K257" s="6"/>
      <c r="L257" s="6">
        <v>1434</v>
      </c>
      <c r="M257" s="6">
        <v>633</v>
      </c>
      <c r="N257" s="6">
        <v>801</v>
      </c>
      <c r="O257" s="6"/>
      <c r="P257" s="6">
        <v>1444</v>
      </c>
      <c r="Q257" s="6">
        <v>0</v>
      </c>
      <c r="R257" s="6">
        <v>0</v>
      </c>
      <c r="S257" s="6">
        <v>0</v>
      </c>
      <c r="T257" s="6">
        <v>0</v>
      </c>
      <c r="U257" s="14" t="s">
        <v>56</v>
      </c>
      <c r="V257" s="14" t="s">
        <v>84</v>
      </c>
      <c r="W257" s="6">
        <v>10</v>
      </c>
      <c r="X257" s="6">
        <v>3.8</v>
      </c>
      <c r="Y257" s="15">
        <v>0.44705882352941173</v>
      </c>
      <c r="Z257" s="16">
        <v>0.38</v>
      </c>
      <c r="AA257" s="16"/>
      <c r="AB257" s="16"/>
      <c r="AC257" s="13">
        <v>0</v>
      </c>
      <c r="AD257" s="13">
        <v>0</v>
      </c>
      <c r="AE257" s="13">
        <v>377.36842105263162</v>
      </c>
      <c r="AF257" s="12">
        <f t="shared" si="98"/>
        <v>166.57894736842107</v>
      </c>
      <c r="AG257" s="12">
        <f t="shared" si="99"/>
        <v>210.78947368421055</v>
      </c>
      <c r="AH257" s="12">
        <f t="shared" si="100"/>
        <v>0</v>
      </c>
      <c r="AI257" s="12">
        <f t="shared" si="101"/>
        <v>0.26342072409488138</v>
      </c>
      <c r="AJ257" s="12">
        <f t="shared" si="102"/>
        <v>0.33333333333333331</v>
      </c>
      <c r="AK257" s="12">
        <f t="shared" si="103"/>
        <v>0</v>
      </c>
      <c r="AL257" s="12">
        <f t="shared" si="104"/>
        <v>0.59675405742821463</v>
      </c>
      <c r="AM257" s="13">
        <v>0</v>
      </c>
      <c r="AN257" s="13">
        <v>380</v>
      </c>
      <c r="AO257" s="13">
        <v>0</v>
      </c>
      <c r="AP257" s="13">
        <v>0</v>
      </c>
      <c r="AQ257" s="12">
        <v>2878</v>
      </c>
      <c r="AR257" s="13">
        <v>757.36842105263167</v>
      </c>
      <c r="AS257" s="17" t="s">
        <v>88</v>
      </c>
    </row>
    <row r="258" spans="1:45" x14ac:dyDescent="0.25">
      <c r="A258" s="22">
        <v>45835</v>
      </c>
      <c r="B258" s="10" t="str">
        <f t="shared" si="96"/>
        <v>2025</v>
      </c>
      <c r="C258" s="10" t="str">
        <f t="shared" si="97"/>
        <v>June</v>
      </c>
      <c r="D258" s="10"/>
      <c r="E258" s="11">
        <v>363</v>
      </c>
      <c r="F258" s="12">
        <v>4900.5</v>
      </c>
      <c r="G258" s="13">
        <v>1400.1428571428571</v>
      </c>
      <c r="H258" s="14" t="s">
        <v>31</v>
      </c>
      <c r="I258" s="6">
        <v>0</v>
      </c>
      <c r="J258" s="6">
        <v>57</v>
      </c>
      <c r="K258" s="6"/>
      <c r="L258" s="6">
        <v>2906</v>
      </c>
      <c r="M258" s="6">
        <v>1398</v>
      </c>
      <c r="N258" s="6">
        <v>1508</v>
      </c>
      <c r="O258" s="6"/>
      <c r="P258" s="6">
        <v>1349</v>
      </c>
      <c r="Q258" s="6">
        <v>0</v>
      </c>
      <c r="R258" s="6">
        <v>0</v>
      </c>
      <c r="S258" s="6">
        <v>0</v>
      </c>
      <c r="T258" s="6">
        <v>0</v>
      </c>
      <c r="U258" s="14" t="s">
        <v>56</v>
      </c>
      <c r="V258" s="14" t="s">
        <v>84</v>
      </c>
      <c r="W258" s="6">
        <v>10</v>
      </c>
      <c r="X258" s="6">
        <v>3.5</v>
      </c>
      <c r="Y258" s="15">
        <v>0.41176470588235292</v>
      </c>
      <c r="Z258" s="16">
        <v>0.35</v>
      </c>
      <c r="AA258" s="16"/>
      <c r="AB258" s="16"/>
      <c r="AC258" s="13">
        <v>0</v>
      </c>
      <c r="AD258" s="13">
        <v>0</v>
      </c>
      <c r="AE258" s="13">
        <v>830.28571428571433</v>
      </c>
      <c r="AF258" s="12">
        <f t="shared" si="98"/>
        <v>399.42857142857144</v>
      </c>
      <c r="AG258" s="12">
        <f t="shared" si="99"/>
        <v>430.85714285714283</v>
      </c>
      <c r="AH258" s="12">
        <f t="shared" si="100"/>
        <v>0</v>
      </c>
      <c r="AI258" s="12">
        <f t="shared" si="101"/>
        <v>0.28527701254973981</v>
      </c>
      <c r="AJ258" s="12">
        <f t="shared" si="102"/>
        <v>0.30772370166309559</v>
      </c>
      <c r="AK258" s="12">
        <f t="shared" si="103"/>
        <v>0</v>
      </c>
      <c r="AL258" s="12">
        <f t="shared" si="104"/>
        <v>0.5930007142128354</v>
      </c>
      <c r="AM258" s="13">
        <v>0</v>
      </c>
      <c r="AN258" s="13">
        <v>385.42857142857144</v>
      </c>
      <c r="AO258" s="13">
        <v>0</v>
      </c>
      <c r="AP258" s="13">
        <v>0</v>
      </c>
      <c r="AQ258" s="12">
        <v>4255</v>
      </c>
      <c r="AR258" s="13">
        <v>1215.7142857142858</v>
      </c>
      <c r="AS258" s="17" t="s">
        <v>89</v>
      </c>
    </row>
    <row r="259" spans="1:45" x14ac:dyDescent="0.25">
      <c r="A259" s="22">
        <v>45836</v>
      </c>
      <c r="B259" s="10" t="str">
        <f t="shared" si="96"/>
        <v>2025</v>
      </c>
      <c r="C259" s="10" t="str">
        <f t="shared" si="97"/>
        <v>June</v>
      </c>
      <c r="D259" s="10"/>
      <c r="E259" s="11"/>
      <c r="F259" s="12"/>
      <c r="G259" s="13"/>
      <c r="H259" s="14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14"/>
      <c r="V259" s="14"/>
      <c r="W259" s="6"/>
      <c r="X259" s="6"/>
      <c r="Y259" s="15"/>
      <c r="Z259" s="16">
        <v>0</v>
      </c>
      <c r="AA259" s="16"/>
      <c r="AB259" s="16"/>
      <c r="AC259" s="13"/>
      <c r="AD259" s="13"/>
      <c r="AE259" s="13"/>
      <c r="AF259" s="12"/>
      <c r="AG259" s="12"/>
      <c r="AH259" s="12"/>
      <c r="AI259" s="12"/>
      <c r="AJ259" s="12"/>
      <c r="AK259" s="12"/>
      <c r="AL259" s="12"/>
      <c r="AM259" s="13"/>
      <c r="AN259" s="13"/>
      <c r="AO259" s="13"/>
      <c r="AP259" s="13"/>
      <c r="AQ259" s="12"/>
      <c r="AR259" s="13"/>
      <c r="AS259" s="17"/>
    </row>
    <row r="260" spans="1:45" x14ac:dyDescent="0.25">
      <c r="A260" s="22">
        <v>45837</v>
      </c>
      <c r="B260" s="10" t="str">
        <f t="shared" si="96"/>
        <v>2025</v>
      </c>
      <c r="C260" s="10" t="str">
        <f t="shared" si="97"/>
        <v>June</v>
      </c>
      <c r="D260" s="10"/>
      <c r="E260" s="11"/>
      <c r="F260" s="12"/>
      <c r="G260" s="13"/>
      <c r="H260" s="14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14"/>
      <c r="V260" s="14"/>
      <c r="W260" s="6"/>
      <c r="X260" s="6"/>
      <c r="Y260" s="15"/>
      <c r="Z260" s="16">
        <v>0</v>
      </c>
      <c r="AA260" s="16"/>
      <c r="AB260" s="16"/>
      <c r="AC260" s="13"/>
      <c r="AD260" s="13"/>
      <c r="AE260" s="13"/>
      <c r="AF260" s="12"/>
      <c r="AG260" s="12"/>
      <c r="AH260" s="12"/>
      <c r="AI260" s="12"/>
      <c r="AJ260" s="12"/>
      <c r="AK260" s="12"/>
      <c r="AL260" s="12"/>
      <c r="AM260" s="13"/>
      <c r="AN260" s="13"/>
      <c r="AO260" s="13"/>
      <c r="AP260" s="13"/>
      <c r="AQ260" s="12"/>
      <c r="AR260" s="13"/>
      <c r="AS260" s="17"/>
    </row>
    <row r="261" spans="1:45" x14ac:dyDescent="0.25">
      <c r="A261" s="22">
        <v>45841</v>
      </c>
      <c r="B261" s="10" t="str">
        <f t="shared" si="96"/>
        <v>2025</v>
      </c>
      <c r="C261" s="10" t="str">
        <f t="shared" si="97"/>
        <v>July</v>
      </c>
      <c r="D261" s="10"/>
      <c r="E261" s="11">
        <v>406</v>
      </c>
      <c r="F261" s="12">
        <v>5481</v>
      </c>
      <c r="G261" s="13">
        <v>913.5</v>
      </c>
      <c r="H261" s="14" t="s">
        <v>31</v>
      </c>
      <c r="I261" s="6">
        <v>0</v>
      </c>
      <c r="J261" s="6">
        <v>57</v>
      </c>
      <c r="K261" s="6"/>
      <c r="L261" s="6">
        <v>2681</v>
      </c>
      <c r="M261" s="6">
        <v>1207</v>
      </c>
      <c r="N261" s="6">
        <v>1474</v>
      </c>
      <c r="O261" s="6"/>
      <c r="P261" s="6">
        <v>1200</v>
      </c>
      <c r="Q261" s="6">
        <v>0</v>
      </c>
      <c r="R261" s="6">
        <v>1766</v>
      </c>
      <c r="S261" s="6">
        <v>0</v>
      </c>
      <c r="T261" s="6">
        <v>0</v>
      </c>
      <c r="U261" s="14" t="s">
        <v>56</v>
      </c>
      <c r="V261" s="14" t="s">
        <v>84</v>
      </c>
      <c r="W261" s="6">
        <v>8</v>
      </c>
      <c r="X261" s="6">
        <v>6</v>
      </c>
      <c r="Y261" s="15">
        <v>0.88235294117647056</v>
      </c>
      <c r="Z261" s="16">
        <v>0.75</v>
      </c>
      <c r="AA261" s="16"/>
      <c r="AB261" s="16"/>
      <c r="AC261" s="13">
        <v>0</v>
      </c>
      <c r="AD261" s="13">
        <v>0</v>
      </c>
      <c r="AE261" s="13">
        <v>446.83333333333331</v>
      </c>
      <c r="AF261" s="12">
        <f t="shared" si="98"/>
        <v>201.16666666666666</v>
      </c>
      <c r="AG261" s="12">
        <f t="shared" si="99"/>
        <v>245.66666666666666</v>
      </c>
      <c r="AH261" s="12">
        <f t="shared" si="100"/>
        <v>0</v>
      </c>
      <c r="AI261" s="12">
        <f t="shared" si="101"/>
        <v>0.22021528918080643</v>
      </c>
      <c r="AJ261" s="12">
        <f t="shared" si="102"/>
        <v>0.2689290275497172</v>
      </c>
      <c r="AK261" s="12">
        <f t="shared" si="103"/>
        <v>0</v>
      </c>
      <c r="AL261" s="12">
        <f t="shared" si="104"/>
        <v>0.48914431673052361</v>
      </c>
      <c r="AM261" s="13">
        <v>294.33333333333331</v>
      </c>
      <c r="AN261" s="13">
        <v>200</v>
      </c>
      <c r="AO261" s="13">
        <v>0</v>
      </c>
      <c r="AP261" s="13">
        <v>0</v>
      </c>
      <c r="AQ261" s="12">
        <v>5647</v>
      </c>
      <c r="AR261" s="13">
        <v>941.16666666666663</v>
      </c>
      <c r="AS261" s="17" t="s">
        <v>90</v>
      </c>
    </row>
    <row r="262" spans="1:45" x14ac:dyDescent="0.25">
      <c r="A262" s="22">
        <v>45842</v>
      </c>
      <c r="B262" s="10" t="str">
        <f t="shared" si="96"/>
        <v>2025</v>
      </c>
      <c r="C262" s="10" t="str">
        <f t="shared" si="97"/>
        <v>July</v>
      </c>
      <c r="D262" s="10"/>
      <c r="E262" s="11"/>
      <c r="F262" s="12"/>
      <c r="G262" s="13"/>
      <c r="H262" s="14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14"/>
      <c r="V262" s="14"/>
      <c r="W262" s="6"/>
      <c r="X262" s="6"/>
      <c r="Y262" s="15"/>
      <c r="Z262" s="16">
        <v>0</v>
      </c>
      <c r="AA262" s="16"/>
      <c r="AB262" s="16"/>
      <c r="AC262" s="13"/>
      <c r="AD262" s="13"/>
      <c r="AE262" s="13"/>
      <c r="AF262" s="12"/>
      <c r="AG262" s="12"/>
      <c r="AH262" s="12"/>
      <c r="AI262" s="12"/>
      <c r="AJ262" s="12"/>
      <c r="AK262" s="12"/>
      <c r="AL262" s="12"/>
      <c r="AM262" s="13"/>
      <c r="AN262" s="13"/>
      <c r="AO262" s="13"/>
      <c r="AP262" s="13"/>
      <c r="AQ262" s="12"/>
      <c r="AR262" s="13"/>
      <c r="AS262" s="17"/>
    </row>
    <row r="263" spans="1:45" x14ac:dyDescent="0.25">
      <c r="A263" s="22">
        <v>45846</v>
      </c>
      <c r="B263" s="10" t="str">
        <f t="shared" si="96"/>
        <v>2025</v>
      </c>
      <c r="C263" s="10" t="str">
        <f t="shared" si="97"/>
        <v>July</v>
      </c>
      <c r="D263" s="10"/>
      <c r="E263" s="11">
        <v>554</v>
      </c>
      <c r="F263" s="12">
        <v>7479</v>
      </c>
      <c r="G263" s="13">
        <v>997.2</v>
      </c>
      <c r="H263" s="14" t="s">
        <v>31</v>
      </c>
      <c r="I263" s="6">
        <v>0</v>
      </c>
      <c r="J263" s="6">
        <v>57</v>
      </c>
      <c r="K263" s="6"/>
      <c r="L263" s="6">
        <v>5199</v>
      </c>
      <c r="M263" s="6">
        <v>2602</v>
      </c>
      <c r="N263" s="6">
        <v>2597</v>
      </c>
      <c r="O263" s="6"/>
      <c r="P263" s="6">
        <v>2850</v>
      </c>
      <c r="Q263" s="6">
        <v>0</v>
      </c>
      <c r="R263" s="6">
        <v>0</v>
      </c>
      <c r="S263" s="6">
        <v>0</v>
      </c>
      <c r="T263" s="6">
        <v>0</v>
      </c>
      <c r="U263" s="14" t="s">
        <v>91</v>
      </c>
      <c r="V263" s="14" t="s">
        <v>84</v>
      </c>
      <c r="W263" s="6">
        <v>10</v>
      </c>
      <c r="X263" s="6">
        <v>7.5</v>
      </c>
      <c r="Y263" s="15">
        <v>0.88235294117647056</v>
      </c>
      <c r="Z263" s="16">
        <v>0.75</v>
      </c>
      <c r="AA263" s="16"/>
      <c r="AB263" s="16"/>
      <c r="AC263" s="13">
        <v>0</v>
      </c>
      <c r="AD263" s="13">
        <v>0</v>
      </c>
      <c r="AE263" s="13">
        <v>693.2</v>
      </c>
      <c r="AF263" s="12">
        <f t="shared" si="98"/>
        <v>346.93333333333334</v>
      </c>
      <c r="AG263" s="12">
        <f t="shared" si="99"/>
        <v>346.26666666666665</v>
      </c>
      <c r="AH263" s="12">
        <f t="shared" si="100"/>
        <v>0</v>
      </c>
      <c r="AI263" s="12">
        <f t="shared" si="101"/>
        <v>0.34790747426126489</v>
      </c>
      <c r="AJ263" s="12">
        <f t="shared" si="102"/>
        <v>0.34723893568658909</v>
      </c>
      <c r="AK263" s="12">
        <f t="shared" si="103"/>
        <v>0</v>
      </c>
      <c r="AL263" s="12">
        <f t="shared" si="104"/>
        <v>0.69514640994785393</v>
      </c>
      <c r="AM263" s="13">
        <v>0</v>
      </c>
      <c r="AN263" s="13">
        <v>380</v>
      </c>
      <c r="AO263" s="13">
        <v>0</v>
      </c>
      <c r="AP263" s="13">
        <v>0</v>
      </c>
      <c r="AQ263" s="12">
        <v>8049</v>
      </c>
      <c r="AR263" s="13">
        <v>1073.2</v>
      </c>
      <c r="AS263" s="17"/>
    </row>
    <row r="264" spans="1:45" x14ac:dyDescent="0.25">
      <c r="A264" s="22">
        <v>45847</v>
      </c>
      <c r="B264" s="10" t="str">
        <f t="shared" si="96"/>
        <v>2025</v>
      </c>
      <c r="C264" s="10" t="str">
        <f t="shared" si="97"/>
        <v>July</v>
      </c>
      <c r="D264" s="10"/>
      <c r="E264" s="11"/>
      <c r="F264" s="12"/>
      <c r="G264" s="13"/>
      <c r="H264" s="14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14"/>
      <c r="V264" s="14"/>
      <c r="W264" s="6"/>
      <c r="X264" s="6"/>
      <c r="Y264" s="15"/>
      <c r="Z264" s="16">
        <v>0</v>
      </c>
      <c r="AA264" s="16"/>
      <c r="AB264" s="16"/>
      <c r="AC264" s="13"/>
      <c r="AD264" s="13"/>
      <c r="AE264" s="13"/>
      <c r="AF264" s="12"/>
      <c r="AG264" s="12"/>
      <c r="AH264" s="12"/>
      <c r="AI264" s="12"/>
      <c r="AJ264" s="12"/>
      <c r="AK264" s="12"/>
      <c r="AL264" s="12"/>
      <c r="AM264" s="13"/>
      <c r="AN264" s="13"/>
      <c r="AO264" s="13"/>
      <c r="AP264" s="13"/>
      <c r="AQ264" s="12"/>
      <c r="AR264" s="13"/>
      <c r="AS264" s="17"/>
    </row>
    <row r="265" spans="1:45" x14ac:dyDescent="0.25">
      <c r="A265" s="22">
        <v>45848</v>
      </c>
      <c r="B265" s="10" t="str">
        <f t="shared" si="96"/>
        <v>2025</v>
      </c>
      <c r="C265" s="10" t="str">
        <f t="shared" si="97"/>
        <v>July</v>
      </c>
      <c r="D265" s="10"/>
      <c r="E265" s="11">
        <v>471</v>
      </c>
      <c r="F265" s="12">
        <v>6358.5</v>
      </c>
      <c r="G265" s="13">
        <v>1156.090909090909</v>
      </c>
      <c r="H265" s="14" t="s">
        <v>31</v>
      </c>
      <c r="I265" s="6">
        <v>0</v>
      </c>
      <c r="J265" s="6">
        <v>57</v>
      </c>
      <c r="K265" s="6"/>
      <c r="L265" s="6">
        <v>4314</v>
      </c>
      <c r="M265" s="6">
        <v>2075</v>
      </c>
      <c r="N265" s="6">
        <v>2239</v>
      </c>
      <c r="O265" s="6"/>
      <c r="P265" s="6">
        <v>1976</v>
      </c>
      <c r="Q265" s="6">
        <v>0</v>
      </c>
      <c r="R265" s="6">
        <v>0</v>
      </c>
      <c r="S265" s="6">
        <v>0</v>
      </c>
      <c r="T265" s="6">
        <v>0</v>
      </c>
      <c r="U265" s="14" t="s">
        <v>91</v>
      </c>
      <c r="V265" s="14" t="s">
        <v>84</v>
      </c>
      <c r="W265" s="6">
        <v>10</v>
      </c>
      <c r="X265" s="6">
        <v>5.5</v>
      </c>
      <c r="Y265" s="15">
        <v>0.6470588235294118</v>
      </c>
      <c r="Z265" s="16">
        <v>0.55000000000000004</v>
      </c>
      <c r="AA265" s="16"/>
      <c r="AB265" s="16"/>
      <c r="AC265" s="13">
        <v>0</v>
      </c>
      <c r="AD265" s="13">
        <v>0</v>
      </c>
      <c r="AE265" s="13">
        <v>784.36363636363637</v>
      </c>
      <c r="AF265" s="12">
        <f t="shared" si="98"/>
        <v>377.27272727272725</v>
      </c>
      <c r="AG265" s="12">
        <f t="shared" si="99"/>
        <v>407.09090909090907</v>
      </c>
      <c r="AH265" s="12">
        <f t="shared" si="100"/>
        <v>0</v>
      </c>
      <c r="AI265" s="12">
        <f t="shared" si="101"/>
        <v>0.32633482739639852</v>
      </c>
      <c r="AJ265" s="12">
        <f t="shared" si="102"/>
        <v>0.35212707399543919</v>
      </c>
      <c r="AK265" s="12">
        <f t="shared" si="103"/>
        <v>0</v>
      </c>
      <c r="AL265" s="12">
        <f t="shared" si="104"/>
        <v>0.67846190139183771</v>
      </c>
      <c r="AM265" s="13">
        <v>0</v>
      </c>
      <c r="AN265" s="13">
        <v>359.27272727272725</v>
      </c>
      <c r="AO265" s="13">
        <v>0</v>
      </c>
      <c r="AP265" s="13">
        <v>0</v>
      </c>
      <c r="AQ265" s="12">
        <v>6290</v>
      </c>
      <c r="AR265" s="13">
        <v>1143.6363636363635</v>
      </c>
      <c r="AS265" s="17" t="s">
        <v>92</v>
      </c>
    </row>
    <row r="266" spans="1:45" x14ac:dyDescent="0.25">
      <c r="A266" s="22">
        <v>45849</v>
      </c>
      <c r="B266" s="10" t="str">
        <f t="shared" si="96"/>
        <v>2025</v>
      </c>
      <c r="C266" s="10" t="str">
        <f t="shared" si="97"/>
        <v>July</v>
      </c>
      <c r="D266" s="10"/>
      <c r="E266" s="11"/>
      <c r="F266" s="12"/>
      <c r="G266" s="13"/>
      <c r="H266" s="14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14"/>
      <c r="V266" s="14"/>
      <c r="W266" s="6"/>
      <c r="X266" s="6"/>
      <c r="Y266" s="15"/>
      <c r="Z266" s="16">
        <v>0</v>
      </c>
      <c r="AA266" s="16"/>
      <c r="AB266" s="16"/>
      <c r="AC266" s="13"/>
      <c r="AD266" s="13"/>
      <c r="AE266" s="13"/>
      <c r="AF266" s="12"/>
      <c r="AG266" s="12"/>
      <c r="AH266" s="12"/>
      <c r="AI266" s="12"/>
      <c r="AJ266" s="12"/>
      <c r="AK266" s="12"/>
      <c r="AL266" s="12"/>
      <c r="AM266" s="13"/>
      <c r="AN266" s="13"/>
      <c r="AO266" s="13"/>
      <c r="AP266" s="13"/>
      <c r="AQ266" s="12"/>
      <c r="AR266" s="13"/>
      <c r="AS266" s="17"/>
    </row>
    <row r="267" spans="1:45" x14ac:dyDescent="0.25">
      <c r="A267" s="22">
        <v>45850</v>
      </c>
      <c r="B267" s="10" t="str">
        <f t="shared" si="96"/>
        <v>2025</v>
      </c>
      <c r="C267" s="10" t="str">
        <f t="shared" si="97"/>
        <v>July</v>
      </c>
      <c r="D267" s="10"/>
      <c r="E267" s="11">
        <v>503</v>
      </c>
      <c r="F267" s="12">
        <v>6790.5</v>
      </c>
      <c r="G267" s="13">
        <v>970.07142857142856</v>
      </c>
      <c r="H267" s="14" t="s">
        <v>31</v>
      </c>
      <c r="I267" s="6">
        <v>0</v>
      </c>
      <c r="J267" s="6">
        <v>57</v>
      </c>
      <c r="K267" s="6"/>
      <c r="L267" s="6">
        <v>4911</v>
      </c>
      <c r="M267" s="6">
        <v>2351</v>
      </c>
      <c r="N267" s="6">
        <v>2560</v>
      </c>
      <c r="O267" s="6"/>
      <c r="P267" s="6">
        <v>2660</v>
      </c>
      <c r="Q267" s="6">
        <v>0</v>
      </c>
      <c r="R267" s="6">
        <v>0</v>
      </c>
      <c r="S267" s="6">
        <v>0</v>
      </c>
      <c r="T267" s="6">
        <v>0</v>
      </c>
      <c r="U267" s="14" t="s">
        <v>91</v>
      </c>
      <c r="V267" s="14" t="s">
        <v>84</v>
      </c>
      <c r="W267" s="6">
        <v>10</v>
      </c>
      <c r="X267" s="6">
        <v>7</v>
      </c>
      <c r="Y267" s="15">
        <v>0.82352941176470584</v>
      </c>
      <c r="Z267" s="16">
        <v>0.7</v>
      </c>
      <c r="AA267" s="16"/>
      <c r="AB267" s="16"/>
      <c r="AC267" s="13">
        <v>0</v>
      </c>
      <c r="AD267" s="13">
        <v>0</v>
      </c>
      <c r="AE267" s="13">
        <v>701.57142857142856</v>
      </c>
      <c r="AF267" s="12">
        <f t="shared" si="98"/>
        <v>335.85714285714283</v>
      </c>
      <c r="AG267" s="12">
        <f t="shared" si="99"/>
        <v>365.71428571428572</v>
      </c>
      <c r="AH267" s="12">
        <f t="shared" si="100"/>
        <v>0</v>
      </c>
      <c r="AI267" s="12">
        <f t="shared" si="101"/>
        <v>0.34621898240188498</v>
      </c>
      <c r="AJ267" s="12">
        <f t="shared" si="102"/>
        <v>0.37699727560562551</v>
      </c>
      <c r="AK267" s="12">
        <f t="shared" si="103"/>
        <v>0</v>
      </c>
      <c r="AL267" s="12">
        <f t="shared" si="104"/>
        <v>0.72321625800751055</v>
      </c>
      <c r="AM267" s="13">
        <v>0</v>
      </c>
      <c r="AN267" s="13">
        <v>380</v>
      </c>
      <c r="AO267" s="13">
        <v>0</v>
      </c>
      <c r="AP267" s="13">
        <v>0</v>
      </c>
      <c r="AQ267" s="12">
        <v>7571</v>
      </c>
      <c r="AR267" s="13">
        <v>1081.5714285714284</v>
      </c>
      <c r="AS267" s="17" t="s">
        <v>93</v>
      </c>
    </row>
    <row r="268" spans="1:45" x14ac:dyDescent="0.25">
      <c r="A268" s="22">
        <v>45852</v>
      </c>
      <c r="B268" s="10" t="str">
        <f t="shared" si="96"/>
        <v>2025</v>
      </c>
      <c r="C268" s="10" t="str">
        <f t="shared" si="97"/>
        <v>July</v>
      </c>
      <c r="D268" s="10"/>
      <c r="E268" s="11">
        <v>787</v>
      </c>
      <c r="F268" s="12">
        <v>10624.5</v>
      </c>
      <c r="G268" s="13">
        <v>1062.45</v>
      </c>
      <c r="H268" s="14" t="s">
        <v>31</v>
      </c>
      <c r="I268" s="6">
        <v>0</v>
      </c>
      <c r="J268" s="6">
        <v>57</v>
      </c>
      <c r="K268" s="6"/>
      <c r="L268" s="6">
        <v>7051</v>
      </c>
      <c r="M268" s="6">
        <v>3322</v>
      </c>
      <c r="N268" s="6">
        <v>3729</v>
      </c>
      <c r="O268" s="6"/>
      <c r="P268" s="6">
        <v>3800</v>
      </c>
      <c r="Q268" s="6">
        <v>0</v>
      </c>
      <c r="R268" s="6">
        <v>0</v>
      </c>
      <c r="S268" s="6">
        <v>0</v>
      </c>
      <c r="T268" s="6">
        <v>0</v>
      </c>
      <c r="U268" s="14" t="s">
        <v>91</v>
      </c>
      <c r="V268" s="14" t="s">
        <v>84</v>
      </c>
      <c r="W268" s="6">
        <v>12</v>
      </c>
      <c r="X268" s="6">
        <v>10</v>
      </c>
      <c r="Y268" s="15">
        <v>0.98039215686274517</v>
      </c>
      <c r="Z268" s="16">
        <v>0.83333333333333337</v>
      </c>
      <c r="AA268" s="16"/>
      <c r="AB268" s="16"/>
      <c r="AC268" s="13">
        <v>0</v>
      </c>
      <c r="AD268" s="13">
        <v>0</v>
      </c>
      <c r="AE268" s="13">
        <v>705.1</v>
      </c>
      <c r="AF268" s="12">
        <f t="shared" si="98"/>
        <v>332.2</v>
      </c>
      <c r="AG268" s="12">
        <f t="shared" si="99"/>
        <v>372.9</v>
      </c>
      <c r="AH268" s="12">
        <f t="shared" si="100"/>
        <v>0</v>
      </c>
      <c r="AI268" s="12">
        <f t="shared" si="101"/>
        <v>0.31267353757823896</v>
      </c>
      <c r="AJ268" s="12">
        <f t="shared" si="102"/>
        <v>0.35098122264577158</v>
      </c>
      <c r="AK268" s="12">
        <f t="shared" si="103"/>
        <v>0</v>
      </c>
      <c r="AL268" s="12">
        <f t="shared" si="104"/>
        <v>0.6636547602240106</v>
      </c>
      <c r="AM268" s="13">
        <v>0</v>
      </c>
      <c r="AN268" s="13">
        <v>380</v>
      </c>
      <c r="AO268" s="13">
        <v>0</v>
      </c>
      <c r="AP268" s="13">
        <v>0</v>
      </c>
      <c r="AQ268" s="12">
        <v>10851</v>
      </c>
      <c r="AR268" s="13">
        <v>1085.0999999999999</v>
      </c>
      <c r="AS268" s="17"/>
    </row>
    <row r="269" spans="1:45" x14ac:dyDescent="0.25">
      <c r="A269" s="22">
        <v>45853</v>
      </c>
      <c r="B269" s="10" t="str">
        <f t="shared" si="96"/>
        <v>2025</v>
      </c>
      <c r="C269" s="10" t="str">
        <f t="shared" si="97"/>
        <v>July</v>
      </c>
      <c r="D269" s="10"/>
      <c r="E269" s="11"/>
      <c r="F269" s="12"/>
      <c r="G269" s="13"/>
      <c r="H269" s="14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14"/>
      <c r="V269" s="14"/>
      <c r="W269" s="6"/>
      <c r="X269" s="6"/>
      <c r="Y269" s="15"/>
      <c r="Z269" s="16">
        <v>0</v>
      </c>
      <c r="AA269" s="16"/>
      <c r="AB269" s="16"/>
      <c r="AC269" s="13"/>
      <c r="AD269" s="13"/>
      <c r="AE269" s="13"/>
      <c r="AF269" s="12"/>
      <c r="AG269" s="12"/>
      <c r="AH269" s="12"/>
      <c r="AI269" s="12"/>
      <c r="AJ269" s="12"/>
      <c r="AK269" s="12"/>
      <c r="AL269" s="12"/>
      <c r="AM269" s="13"/>
      <c r="AN269" s="13"/>
      <c r="AO269" s="13"/>
      <c r="AP269" s="13"/>
      <c r="AQ269" s="12"/>
      <c r="AR269" s="13"/>
      <c r="AS269" s="17"/>
    </row>
    <row r="270" spans="1:45" x14ac:dyDescent="0.25">
      <c r="A270" s="22">
        <v>45854</v>
      </c>
      <c r="B270" s="10" t="str">
        <f t="shared" ref="B270:B333" si="105">TEXT(A270,"YYYY")</f>
        <v>2025</v>
      </c>
      <c r="C270" s="10" t="str">
        <f t="shared" ref="C270:C333" si="106">TEXT(A270,"MMMM")</f>
        <v>July</v>
      </c>
      <c r="D270" s="10"/>
      <c r="E270" s="11"/>
      <c r="F270" s="12"/>
      <c r="G270" s="13"/>
      <c r="H270" s="14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14"/>
      <c r="V270" s="14"/>
      <c r="W270" s="6"/>
      <c r="X270" s="6"/>
      <c r="Y270" s="15"/>
      <c r="Z270" s="16">
        <v>0</v>
      </c>
      <c r="AA270" s="16"/>
      <c r="AB270" s="16"/>
      <c r="AC270" s="13"/>
      <c r="AD270" s="13"/>
      <c r="AE270" s="13"/>
      <c r="AF270" s="12"/>
      <c r="AG270" s="12"/>
      <c r="AH270" s="12"/>
      <c r="AI270" s="12"/>
      <c r="AJ270" s="12"/>
      <c r="AK270" s="12"/>
      <c r="AL270" s="12"/>
      <c r="AM270" s="13"/>
      <c r="AN270" s="13"/>
      <c r="AO270" s="13"/>
      <c r="AP270" s="13"/>
      <c r="AQ270" s="12"/>
      <c r="AR270" s="13"/>
      <c r="AS270" s="17"/>
    </row>
    <row r="271" spans="1:45" x14ac:dyDescent="0.25">
      <c r="A271" s="22">
        <v>45855</v>
      </c>
      <c r="B271" s="10" t="str">
        <f t="shared" si="105"/>
        <v>2025</v>
      </c>
      <c r="C271" s="10" t="str">
        <f t="shared" si="106"/>
        <v>July</v>
      </c>
      <c r="D271" s="10"/>
      <c r="E271" s="11">
        <v>760</v>
      </c>
      <c r="F271" s="12">
        <v>10260</v>
      </c>
      <c r="G271" s="13">
        <v>967.92452830188688</v>
      </c>
      <c r="H271" s="14" t="s">
        <v>31</v>
      </c>
      <c r="I271" s="6">
        <v>0</v>
      </c>
      <c r="J271" s="6">
        <v>57</v>
      </c>
      <c r="K271" s="6"/>
      <c r="L271" s="6">
        <v>6999</v>
      </c>
      <c r="M271" s="6">
        <v>3276</v>
      </c>
      <c r="N271" s="6">
        <v>3723</v>
      </c>
      <c r="O271" s="6"/>
      <c r="P271" s="6">
        <v>4028</v>
      </c>
      <c r="Q271" s="6">
        <v>0</v>
      </c>
      <c r="R271" s="6">
        <v>0</v>
      </c>
      <c r="S271" s="6">
        <v>0</v>
      </c>
      <c r="T271" s="6">
        <v>0</v>
      </c>
      <c r="U271" s="14" t="s">
        <v>91</v>
      </c>
      <c r="V271" s="14" t="s">
        <v>84</v>
      </c>
      <c r="W271" s="6">
        <v>10</v>
      </c>
      <c r="X271" s="6">
        <v>10.6</v>
      </c>
      <c r="Y271" s="15">
        <v>1.2470588235294118</v>
      </c>
      <c r="Z271" s="16">
        <v>1.06</v>
      </c>
      <c r="AA271" s="16"/>
      <c r="AB271" s="16"/>
      <c r="AC271" s="13">
        <v>0</v>
      </c>
      <c r="AD271" s="13">
        <v>0</v>
      </c>
      <c r="AE271" s="13">
        <v>660.28301886792451</v>
      </c>
      <c r="AF271" s="12">
        <f t="shared" si="98"/>
        <v>309.05660377358492</v>
      </c>
      <c r="AG271" s="12">
        <f t="shared" si="99"/>
        <v>351.22641509433964</v>
      </c>
      <c r="AH271" s="12">
        <f t="shared" si="100"/>
        <v>0</v>
      </c>
      <c r="AI271" s="12">
        <f t="shared" si="101"/>
        <v>0.31929824561403508</v>
      </c>
      <c r="AJ271" s="12">
        <f t="shared" si="102"/>
        <v>0.36286549707602339</v>
      </c>
      <c r="AK271" s="12">
        <f t="shared" si="103"/>
        <v>0</v>
      </c>
      <c r="AL271" s="12">
        <f t="shared" si="104"/>
        <v>0.68216374269005842</v>
      </c>
      <c r="AM271" s="13">
        <v>0</v>
      </c>
      <c r="AN271" s="13">
        <v>380</v>
      </c>
      <c r="AO271" s="13">
        <v>0</v>
      </c>
      <c r="AP271" s="13">
        <v>0</v>
      </c>
      <c r="AQ271" s="12">
        <v>11027</v>
      </c>
      <c r="AR271" s="13">
        <v>1040.2830188679245</v>
      </c>
      <c r="AS271" s="17" t="s">
        <v>94</v>
      </c>
    </row>
    <row r="272" spans="1:45" x14ac:dyDescent="0.25">
      <c r="A272" s="22">
        <v>45856</v>
      </c>
      <c r="B272" s="10" t="str">
        <f t="shared" si="105"/>
        <v>2025</v>
      </c>
      <c r="C272" s="10" t="str">
        <f t="shared" si="106"/>
        <v>July</v>
      </c>
      <c r="D272" s="10"/>
      <c r="E272" s="11">
        <v>682</v>
      </c>
      <c r="F272" s="12">
        <v>9207</v>
      </c>
      <c r="G272" s="13">
        <v>1023</v>
      </c>
      <c r="H272" s="14" t="s">
        <v>31</v>
      </c>
      <c r="I272" s="6">
        <v>0</v>
      </c>
      <c r="J272" s="6">
        <v>57</v>
      </c>
      <c r="K272" s="6"/>
      <c r="L272" s="6">
        <v>6047</v>
      </c>
      <c r="M272" s="6">
        <v>2791</v>
      </c>
      <c r="N272" s="6">
        <v>3256</v>
      </c>
      <c r="O272" s="6"/>
      <c r="P272" s="6">
        <v>3420</v>
      </c>
      <c r="Q272" s="6">
        <v>0</v>
      </c>
      <c r="R272" s="6">
        <v>0</v>
      </c>
      <c r="S272" s="6">
        <v>0</v>
      </c>
      <c r="T272" s="6">
        <v>0</v>
      </c>
      <c r="U272" s="14" t="s">
        <v>91</v>
      </c>
      <c r="V272" s="14" t="s">
        <v>84</v>
      </c>
      <c r="W272" s="6">
        <v>12</v>
      </c>
      <c r="X272" s="6">
        <v>9</v>
      </c>
      <c r="Y272" s="15">
        <v>0.88235294117647067</v>
      </c>
      <c r="Z272" s="16">
        <v>0.75</v>
      </c>
      <c r="AA272" s="16"/>
      <c r="AB272" s="16"/>
      <c r="AC272" s="13">
        <v>0</v>
      </c>
      <c r="AD272" s="13">
        <v>0</v>
      </c>
      <c r="AE272" s="13">
        <v>671.88888888888891</v>
      </c>
      <c r="AF272" s="12">
        <f t="shared" si="98"/>
        <v>310.11111111111109</v>
      </c>
      <c r="AG272" s="12">
        <f t="shared" si="99"/>
        <v>361.77777777777777</v>
      </c>
      <c r="AH272" s="12">
        <f t="shared" si="100"/>
        <v>0</v>
      </c>
      <c r="AI272" s="12">
        <f t="shared" si="101"/>
        <v>0.30313891604214183</v>
      </c>
      <c r="AJ272" s="12">
        <f t="shared" si="102"/>
        <v>0.35364396654719238</v>
      </c>
      <c r="AK272" s="12">
        <f t="shared" si="103"/>
        <v>0</v>
      </c>
      <c r="AL272" s="12">
        <f t="shared" si="104"/>
        <v>0.65678288258933426</v>
      </c>
      <c r="AM272" s="13">
        <v>0</v>
      </c>
      <c r="AN272" s="13">
        <v>380</v>
      </c>
      <c r="AO272" s="13">
        <v>0</v>
      </c>
      <c r="AP272" s="13">
        <v>0</v>
      </c>
      <c r="AQ272" s="12">
        <v>9467</v>
      </c>
      <c r="AR272" s="13">
        <v>1051.8888888888889</v>
      </c>
      <c r="AS272" s="17" t="s">
        <v>95</v>
      </c>
    </row>
    <row r="273" spans="1:45" x14ac:dyDescent="0.25">
      <c r="A273" s="22">
        <v>45859</v>
      </c>
      <c r="B273" s="10" t="str">
        <f t="shared" si="105"/>
        <v>2025</v>
      </c>
      <c r="C273" s="10" t="str">
        <f t="shared" si="106"/>
        <v>July</v>
      </c>
      <c r="D273" s="10"/>
      <c r="E273" s="11">
        <v>695</v>
      </c>
      <c r="F273" s="12">
        <v>9382.5</v>
      </c>
      <c r="G273" s="13">
        <v>1042.5</v>
      </c>
      <c r="H273" s="14" t="s">
        <v>31</v>
      </c>
      <c r="I273" s="6">
        <v>0</v>
      </c>
      <c r="J273" s="6">
        <v>57</v>
      </c>
      <c r="K273" s="6"/>
      <c r="L273" s="6">
        <v>6324</v>
      </c>
      <c r="M273" s="6">
        <v>3094</v>
      </c>
      <c r="N273" s="6">
        <v>3230</v>
      </c>
      <c r="O273" s="6"/>
      <c r="P273" s="6">
        <v>3420</v>
      </c>
      <c r="Q273" s="6">
        <v>0</v>
      </c>
      <c r="R273" s="6">
        <v>0</v>
      </c>
      <c r="S273" s="6">
        <v>0</v>
      </c>
      <c r="T273" s="6">
        <v>0</v>
      </c>
      <c r="U273" s="14" t="s">
        <v>91</v>
      </c>
      <c r="V273" s="14" t="s">
        <v>84</v>
      </c>
      <c r="W273" s="6">
        <v>12</v>
      </c>
      <c r="X273" s="6">
        <v>9</v>
      </c>
      <c r="Y273" s="15">
        <v>0.88235294117647067</v>
      </c>
      <c r="Z273" s="16">
        <v>0.75</v>
      </c>
      <c r="AA273" s="16"/>
      <c r="AB273" s="16"/>
      <c r="AC273" s="13">
        <v>0</v>
      </c>
      <c r="AD273" s="13">
        <v>0</v>
      </c>
      <c r="AE273" s="13">
        <v>702.66666666666663</v>
      </c>
      <c r="AF273" s="12">
        <f t="shared" si="98"/>
        <v>343.77777777777777</v>
      </c>
      <c r="AG273" s="12">
        <f t="shared" si="99"/>
        <v>358.88888888888891</v>
      </c>
      <c r="AH273" s="12">
        <f t="shared" si="100"/>
        <v>0</v>
      </c>
      <c r="AI273" s="12">
        <f t="shared" si="101"/>
        <v>0.32976285638156144</v>
      </c>
      <c r="AJ273" s="12">
        <f t="shared" si="102"/>
        <v>0.34425792699173996</v>
      </c>
      <c r="AK273" s="12">
        <f t="shared" si="103"/>
        <v>0</v>
      </c>
      <c r="AL273" s="12">
        <f t="shared" si="104"/>
        <v>0.6740207833733014</v>
      </c>
      <c r="AM273" s="13">
        <v>0</v>
      </c>
      <c r="AN273" s="13">
        <v>380</v>
      </c>
      <c r="AO273" s="13">
        <v>0</v>
      </c>
      <c r="AP273" s="13">
        <v>0</v>
      </c>
      <c r="AQ273" s="12">
        <v>9744</v>
      </c>
      <c r="AR273" s="13">
        <v>1082.6666666666665</v>
      </c>
      <c r="AS273" s="17" t="s">
        <v>96</v>
      </c>
    </row>
    <row r="274" spans="1:45" x14ac:dyDescent="0.25">
      <c r="A274" s="22">
        <v>45860</v>
      </c>
      <c r="B274" s="10" t="str">
        <f t="shared" si="105"/>
        <v>2025</v>
      </c>
      <c r="C274" s="10" t="str">
        <f t="shared" si="106"/>
        <v>July</v>
      </c>
      <c r="D274" s="10"/>
      <c r="E274" s="11">
        <v>467</v>
      </c>
      <c r="F274" s="12">
        <v>6304.5</v>
      </c>
      <c r="G274" s="13">
        <v>1000.7142857142858</v>
      </c>
      <c r="H274" s="14" t="s">
        <v>31</v>
      </c>
      <c r="I274" s="6">
        <v>0</v>
      </c>
      <c r="J274" s="6">
        <v>57</v>
      </c>
      <c r="K274" s="6"/>
      <c r="L274" s="6">
        <v>4215</v>
      </c>
      <c r="M274" s="6">
        <v>2030</v>
      </c>
      <c r="N274" s="6">
        <v>2185</v>
      </c>
      <c r="O274" s="6"/>
      <c r="P274" s="6">
        <v>2394</v>
      </c>
      <c r="Q274" s="6">
        <v>0</v>
      </c>
      <c r="R274" s="6">
        <v>0</v>
      </c>
      <c r="S274" s="6">
        <v>0</v>
      </c>
      <c r="T274" s="6">
        <v>0</v>
      </c>
      <c r="U274" s="14" t="s">
        <v>91</v>
      </c>
      <c r="V274" s="14" t="s">
        <v>84</v>
      </c>
      <c r="W274" s="6">
        <v>10</v>
      </c>
      <c r="X274" s="6">
        <v>6.3</v>
      </c>
      <c r="Y274" s="15">
        <v>0.74117647058823533</v>
      </c>
      <c r="Z274" s="16">
        <v>0.63</v>
      </c>
      <c r="AA274" s="16"/>
      <c r="AB274" s="16"/>
      <c r="AC274" s="13">
        <v>0</v>
      </c>
      <c r="AD274" s="13">
        <v>0</v>
      </c>
      <c r="AE274" s="13">
        <v>669.04761904761904</v>
      </c>
      <c r="AF274" s="12">
        <f t="shared" si="98"/>
        <v>322.22222222222223</v>
      </c>
      <c r="AG274" s="12">
        <f t="shared" si="99"/>
        <v>346.82539682539681</v>
      </c>
      <c r="AH274" s="12">
        <f t="shared" si="100"/>
        <v>0</v>
      </c>
      <c r="AI274" s="12">
        <f t="shared" si="101"/>
        <v>0.32199222777381237</v>
      </c>
      <c r="AJ274" s="12">
        <f t="shared" si="102"/>
        <v>0.34657784122452218</v>
      </c>
      <c r="AK274" s="12">
        <f t="shared" si="103"/>
        <v>0</v>
      </c>
      <c r="AL274" s="12">
        <f t="shared" si="104"/>
        <v>0.66857006899833449</v>
      </c>
      <c r="AM274" s="13">
        <v>0</v>
      </c>
      <c r="AN274" s="13">
        <v>380</v>
      </c>
      <c r="AO274" s="13">
        <v>0</v>
      </c>
      <c r="AP274" s="13">
        <v>0</v>
      </c>
      <c r="AQ274" s="12">
        <v>6609</v>
      </c>
      <c r="AR274" s="13">
        <v>1049.047619047619</v>
      </c>
      <c r="AS274" s="17" t="s">
        <v>97</v>
      </c>
    </row>
    <row r="275" spans="1:45" x14ac:dyDescent="0.25">
      <c r="A275" s="22">
        <v>45861</v>
      </c>
      <c r="B275" s="10" t="str">
        <f t="shared" si="105"/>
        <v>2025</v>
      </c>
      <c r="C275" s="10" t="str">
        <f t="shared" si="106"/>
        <v>July</v>
      </c>
      <c r="D275" s="10"/>
      <c r="E275" s="11"/>
      <c r="F275" s="12"/>
      <c r="G275" s="13"/>
      <c r="H275" s="14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14"/>
      <c r="V275" s="14"/>
      <c r="W275" s="6"/>
      <c r="X275" s="6"/>
      <c r="Y275" s="15"/>
      <c r="Z275" s="16">
        <v>0</v>
      </c>
      <c r="AA275" s="16"/>
      <c r="AB275" s="16"/>
      <c r="AC275" s="13"/>
      <c r="AD275" s="13"/>
      <c r="AE275" s="13"/>
      <c r="AF275" s="12"/>
      <c r="AG275" s="12"/>
      <c r="AH275" s="12"/>
      <c r="AI275" s="12"/>
      <c r="AJ275" s="12"/>
      <c r="AK275" s="12"/>
      <c r="AL275" s="12"/>
      <c r="AM275" s="13"/>
      <c r="AN275" s="13"/>
      <c r="AO275" s="13"/>
      <c r="AP275" s="13"/>
      <c r="AQ275" s="12"/>
      <c r="AR275" s="13"/>
      <c r="AS275" s="17"/>
    </row>
    <row r="276" spans="1:45" x14ac:dyDescent="0.25">
      <c r="A276" s="22">
        <v>45862</v>
      </c>
      <c r="B276" s="10" t="str">
        <f t="shared" si="105"/>
        <v>2025</v>
      </c>
      <c r="C276" s="10" t="str">
        <f t="shared" si="106"/>
        <v>July</v>
      </c>
      <c r="D276" s="10"/>
      <c r="E276" s="11">
        <v>821</v>
      </c>
      <c r="F276" s="12">
        <v>11083.5</v>
      </c>
      <c r="G276" s="13">
        <v>1097.3762376237623</v>
      </c>
      <c r="H276" s="14" t="s">
        <v>31</v>
      </c>
      <c r="I276" s="6">
        <v>0</v>
      </c>
      <c r="J276" s="6">
        <v>57</v>
      </c>
      <c r="K276" s="6"/>
      <c r="L276" s="6">
        <v>7242</v>
      </c>
      <c r="M276" s="6">
        <v>3532</v>
      </c>
      <c r="N276" s="6">
        <v>3710</v>
      </c>
      <c r="O276" s="6"/>
      <c r="P276" s="6">
        <v>3838</v>
      </c>
      <c r="Q276" s="6">
        <v>0</v>
      </c>
      <c r="R276" s="6">
        <v>0</v>
      </c>
      <c r="S276" s="6">
        <v>0</v>
      </c>
      <c r="T276" s="6">
        <v>0</v>
      </c>
      <c r="U276" s="14" t="s">
        <v>98</v>
      </c>
      <c r="V276" s="14" t="s">
        <v>84</v>
      </c>
      <c r="W276" s="6">
        <v>12</v>
      </c>
      <c r="X276" s="6">
        <v>10.1</v>
      </c>
      <c r="Y276" s="15">
        <v>0.99019607843137258</v>
      </c>
      <c r="Z276" s="16">
        <v>0.84166666666666667</v>
      </c>
      <c r="AA276" s="16"/>
      <c r="AB276" s="16"/>
      <c r="AC276" s="13">
        <v>0</v>
      </c>
      <c r="AD276" s="13">
        <v>0</v>
      </c>
      <c r="AE276" s="13">
        <v>717.02970297029708</v>
      </c>
      <c r="AF276" s="12">
        <f t="shared" si="98"/>
        <v>349.70297029702971</v>
      </c>
      <c r="AG276" s="12">
        <f t="shared" si="99"/>
        <v>367.32673267326732</v>
      </c>
      <c r="AH276" s="12">
        <f t="shared" si="100"/>
        <v>0</v>
      </c>
      <c r="AI276" s="12">
        <f t="shared" si="101"/>
        <v>0.31867189967068166</v>
      </c>
      <c r="AJ276" s="12">
        <f t="shared" si="102"/>
        <v>0.3347318085442324</v>
      </c>
      <c r="AK276" s="12">
        <f t="shared" si="103"/>
        <v>0</v>
      </c>
      <c r="AL276" s="12">
        <f t="shared" si="104"/>
        <v>0.653403708214914</v>
      </c>
      <c r="AM276" s="13">
        <v>0</v>
      </c>
      <c r="AN276" s="13">
        <v>380</v>
      </c>
      <c r="AO276" s="13">
        <v>0</v>
      </c>
      <c r="AP276" s="13">
        <v>0</v>
      </c>
      <c r="AQ276" s="12">
        <v>11080</v>
      </c>
      <c r="AR276" s="13">
        <v>1097.029702970297</v>
      </c>
      <c r="AS276" s="17" t="s">
        <v>99</v>
      </c>
    </row>
    <row r="277" spans="1:45" x14ac:dyDescent="0.25">
      <c r="A277" s="22">
        <v>45863</v>
      </c>
      <c r="B277" s="10" t="str">
        <f t="shared" si="105"/>
        <v>2025</v>
      </c>
      <c r="C277" s="10" t="str">
        <f t="shared" si="106"/>
        <v>July</v>
      </c>
      <c r="D277" s="10"/>
      <c r="E277" s="11">
        <v>701</v>
      </c>
      <c r="F277" s="12">
        <v>9463.5</v>
      </c>
      <c r="G277" s="13">
        <v>1017.5806451612902</v>
      </c>
      <c r="H277" s="14" t="s">
        <v>31</v>
      </c>
      <c r="I277" s="6">
        <v>0</v>
      </c>
      <c r="J277" s="6">
        <v>57</v>
      </c>
      <c r="K277" s="6"/>
      <c r="L277" s="6">
        <v>6128</v>
      </c>
      <c r="M277" s="6">
        <v>2978</v>
      </c>
      <c r="N277" s="6">
        <v>3150</v>
      </c>
      <c r="O277" s="6"/>
      <c r="P277" s="6">
        <v>3534</v>
      </c>
      <c r="Q277" s="6">
        <v>0</v>
      </c>
      <c r="R277" s="6">
        <v>0</v>
      </c>
      <c r="S277" s="6">
        <v>0</v>
      </c>
      <c r="T277" s="6">
        <v>0</v>
      </c>
      <c r="U277" s="14" t="s">
        <v>98</v>
      </c>
      <c r="V277" s="14" t="s">
        <v>84</v>
      </c>
      <c r="W277" s="6">
        <v>12</v>
      </c>
      <c r="X277" s="6">
        <v>9.3000000000000007</v>
      </c>
      <c r="Y277" s="15">
        <v>0.91176470588235303</v>
      </c>
      <c r="Z277" s="16">
        <v>0.77500000000000002</v>
      </c>
      <c r="AA277" s="16"/>
      <c r="AB277" s="16"/>
      <c r="AC277" s="13">
        <v>0</v>
      </c>
      <c r="AD277" s="13">
        <v>0</v>
      </c>
      <c r="AE277" s="13">
        <v>658.92473118279565</v>
      </c>
      <c r="AF277" s="12">
        <f t="shared" si="98"/>
        <v>320.21505376344084</v>
      </c>
      <c r="AG277" s="12">
        <f t="shared" si="99"/>
        <v>338.70967741935482</v>
      </c>
      <c r="AH277" s="12">
        <f t="shared" si="100"/>
        <v>0</v>
      </c>
      <c r="AI277" s="12">
        <f t="shared" si="101"/>
        <v>0.3146827283774502</v>
      </c>
      <c r="AJ277" s="12">
        <f t="shared" si="102"/>
        <v>0.33285782215882076</v>
      </c>
      <c r="AK277" s="12">
        <f t="shared" si="103"/>
        <v>0</v>
      </c>
      <c r="AL277" s="12">
        <f t="shared" si="104"/>
        <v>0.64754055053627102</v>
      </c>
      <c r="AM277" s="13">
        <v>0</v>
      </c>
      <c r="AN277" s="13">
        <v>379.99999999999994</v>
      </c>
      <c r="AO277" s="13">
        <v>0</v>
      </c>
      <c r="AP277" s="13">
        <v>0</v>
      </c>
      <c r="AQ277" s="12">
        <v>9662</v>
      </c>
      <c r="AR277" s="13">
        <v>1038.9247311827955</v>
      </c>
      <c r="AS277" s="17" t="s">
        <v>100</v>
      </c>
    </row>
    <row r="278" spans="1:45" x14ac:dyDescent="0.25">
      <c r="A278" s="22">
        <v>45866</v>
      </c>
      <c r="B278" s="10" t="str">
        <f t="shared" si="105"/>
        <v>2025</v>
      </c>
      <c r="C278" s="10" t="str">
        <f t="shared" si="106"/>
        <v>July</v>
      </c>
      <c r="D278" s="10"/>
      <c r="E278" s="11">
        <v>220</v>
      </c>
      <c r="F278" s="12">
        <v>2970</v>
      </c>
      <c r="G278" s="13">
        <v>990</v>
      </c>
      <c r="H278" s="14" t="s">
        <v>31</v>
      </c>
      <c r="I278" s="6">
        <v>0</v>
      </c>
      <c r="J278" s="6">
        <v>57</v>
      </c>
      <c r="K278" s="6"/>
      <c r="L278" s="6">
        <v>2058</v>
      </c>
      <c r="M278" s="6">
        <v>987</v>
      </c>
      <c r="N278" s="6">
        <v>1071</v>
      </c>
      <c r="O278" s="6"/>
      <c r="P278" s="6">
        <v>600</v>
      </c>
      <c r="Q278" s="6">
        <v>0</v>
      </c>
      <c r="R278" s="6">
        <v>0</v>
      </c>
      <c r="S278" s="6">
        <v>0</v>
      </c>
      <c r="T278" s="6">
        <v>0</v>
      </c>
      <c r="U278" s="14" t="s">
        <v>98</v>
      </c>
      <c r="V278" s="14" t="s">
        <v>84</v>
      </c>
      <c r="W278" s="6">
        <v>12</v>
      </c>
      <c r="X278" s="6">
        <v>3</v>
      </c>
      <c r="Y278" s="15">
        <v>0.29411764705882354</v>
      </c>
      <c r="Z278" s="16">
        <v>0.25</v>
      </c>
      <c r="AA278" s="16"/>
      <c r="AB278" s="16"/>
      <c r="AC278" s="13">
        <v>0</v>
      </c>
      <c r="AD278" s="13">
        <v>0</v>
      </c>
      <c r="AE278" s="13">
        <v>686</v>
      </c>
      <c r="AF278" s="12">
        <f t="shared" si="98"/>
        <v>329</v>
      </c>
      <c r="AG278" s="12">
        <f t="shared" si="99"/>
        <v>357</v>
      </c>
      <c r="AH278" s="12">
        <f t="shared" si="100"/>
        <v>0</v>
      </c>
      <c r="AI278" s="12">
        <f t="shared" si="101"/>
        <v>0.3323232323232323</v>
      </c>
      <c r="AJ278" s="12">
        <f t="shared" si="102"/>
        <v>0.3606060606060606</v>
      </c>
      <c r="AK278" s="12">
        <f t="shared" si="103"/>
        <v>0</v>
      </c>
      <c r="AL278" s="12">
        <f t="shared" si="104"/>
        <v>0.69292929292929295</v>
      </c>
      <c r="AM278" s="13">
        <v>0</v>
      </c>
      <c r="AN278" s="13">
        <v>200</v>
      </c>
      <c r="AO278" s="13">
        <v>0</v>
      </c>
      <c r="AP278" s="13">
        <v>0</v>
      </c>
      <c r="AQ278" s="12">
        <v>2658</v>
      </c>
      <c r="AR278" s="13">
        <v>886</v>
      </c>
      <c r="AS278" s="17" t="s">
        <v>101</v>
      </c>
    </row>
    <row r="279" spans="1:45" x14ac:dyDescent="0.25">
      <c r="A279" s="22">
        <v>45867</v>
      </c>
      <c r="B279" s="10" t="str">
        <f t="shared" si="105"/>
        <v>2025</v>
      </c>
      <c r="C279" s="10" t="str">
        <f t="shared" si="106"/>
        <v>July</v>
      </c>
      <c r="D279" s="10"/>
      <c r="E279" s="11">
        <v>138</v>
      </c>
      <c r="F279" s="12">
        <v>1863</v>
      </c>
      <c r="G279" s="13">
        <v>232.875</v>
      </c>
      <c r="H279" s="14" t="s">
        <v>31</v>
      </c>
      <c r="I279" s="6">
        <v>0</v>
      </c>
      <c r="J279" s="6">
        <v>57</v>
      </c>
      <c r="K279" s="6"/>
      <c r="L279" s="6">
        <v>1958</v>
      </c>
      <c r="M279" s="6">
        <v>0</v>
      </c>
      <c r="N279" s="6">
        <v>1958</v>
      </c>
      <c r="O279" s="6"/>
      <c r="P279" s="6">
        <v>1600</v>
      </c>
      <c r="Q279" s="6">
        <v>0</v>
      </c>
      <c r="R279" s="6">
        <v>0</v>
      </c>
      <c r="S279" s="6">
        <v>0</v>
      </c>
      <c r="T279" s="6">
        <v>0</v>
      </c>
      <c r="U279" s="14" t="s">
        <v>98</v>
      </c>
      <c r="V279" s="14" t="s">
        <v>84</v>
      </c>
      <c r="W279" s="6">
        <v>10</v>
      </c>
      <c r="X279" s="6">
        <v>8</v>
      </c>
      <c r="Y279" s="15">
        <v>0.94117647058823528</v>
      </c>
      <c r="Z279" s="16">
        <v>0.8</v>
      </c>
      <c r="AA279" s="16"/>
      <c r="AB279" s="16"/>
      <c r="AC279" s="13">
        <v>0</v>
      </c>
      <c r="AD279" s="13">
        <v>0</v>
      </c>
      <c r="AE279" s="13">
        <v>244.75</v>
      </c>
      <c r="AF279" s="12"/>
      <c r="AG279" s="12">
        <f t="shared" si="99"/>
        <v>244.75</v>
      </c>
      <c r="AH279" s="12">
        <f t="shared" si="100"/>
        <v>0</v>
      </c>
      <c r="AI279" s="12">
        <f t="shared" si="101"/>
        <v>0</v>
      </c>
      <c r="AJ279" s="12">
        <f t="shared" si="102"/>
        <v>1.0509930220075148</v>
      </c>
      <c r="AK279" s="12">
        <f t="shared" si="103"/>
        <v>0</v>
      </c>
      <c r="AL279" s="12">
        <f t="shared" si="104"/>
        <v>1.0509930220075148</v>
      </c>
      <c r="AM279" s="13">
        <v>0</v>
      </c>
      <c r="AN279" s="13">
        <v>200</v>
      </c>
      <c r="AO279" s="13">
        <v>0</v>
      </c>
      <c r="AP279" s="13">
        <v>0</v>
      </c>
      <c r="AQ279" s="12">
        <v>3558</v>
      </c>
      <c r="AR279" s="13">
        <v>444.75</v>
      </c>
      <c r="AS279" s="17" t="s">
        <v>102</v>
      </c>
    </row>
    <row r="280" spans="1:45" x14ac:dyDescent="0.25">
      <c r="A280" s="22">
        <v>45868</v>
      </c>
      <c r="B280" s="10" t="str">
        <f t="shared" si="105"/>
        <v>2025</v>
      </c>
      <c r="C280" s="10" t="str">
        <f t="shared" si="106"/>
        <v>July</v>
      </c>
      <c r="D280" s="10"/>
      <c r="E280" s="11">
        <v>527</v>
      </c>
      <c r="F280" s="12">
        <v>7114.5</v>
      </c>
      <c r="G280" s="13">
        <v>1031.086956521739</v>
      </c>
      <c r="H280" s="14" t="s">
        <v>31</v>
      </c>
      <c r="I280" s="6">
        <v>0</v>
      </c>
      <c r="J280" s="6">
        <v>57</v>
      </c>
      <c r="K280" s="6"/>
      <c r="L280" s="6">
        <v>4816</v>
      </c>
      <c r="M280" s="6">
        <v>2591</v>
      </c>
      <c r="N280" s="6">
        <v>2225</v>
      </c>
      <c r="O280" s="6"/>
      <c r="P280" s="6">
        <v>2622</v>
      </c>
      <c r="Q280" s="6">
        <v>0</v>
      </c>
      <c r="R280" s="6">
        <v>0</v>
      </c>
      <c r="S280" s="6">
        <v>0</v>
      </c>
      <c r="T280" s="6">
        <v>0</v>
      </c>
      <c r="U280" s="14" t="s">
        <v>98</v>
      </c>
      <c r="V280" s="14" t="s">
        <v>84</v>
      </c>
      <c r="W280" s="6">
        <v>9</v>
      </c>
      <c r="X280" s="6">
        <v>6.9</v>
      </c>
      <c r="Y280" s="15">
        <v>0.90196078431372562</v>
      </c>
      <c r="Z280" s="16">
        <v>0.76666666666666672</v>
      </c>
      <c r="AA280" s="16"/>
      <c r="AB280" s="16"/>
      <c r="AC280" s="13">
        <v>0</v>
      </c>
      <c r="AD280" s="13">
        <v>0</v>
      </c>
      <c r="AE280" s="13">
        <v>697.97101449275362</v>
      </c>
      <c r="AF280" s="12">
        <f t="shared" si="98"/>
        <v>375.50724637681157</v>
      </c>
      <c r="AG280" s="12">
        <f t="shared" si="99"/>
        <v>322.463768115942</v>
      </c>
      <c r="AH280" s="12">
        <f t="shared" si="100"/>
        <v>0</v>
      </c>
      <c r="AI280" s="12">
        <f t="shared" si="101"/>
        <v>0.36418581769625413</v>
      </c>
      <c r="AJ280" s="12">
        <f t="shared" si="102"/>
        <v>0.31274158408883268</v>
      </c>
      <c r="AK280" s="12">
        <f t="shared" si="103"/>
        <v>0</v>
      </c>
      <c r="AL280" s="12">
        <f t="shared" si="104"/>
        <v>0.67692740178508681</v>
      </c>
      <c r="AM280" s="13">
        <v>0</v>
      </c>
      <c r="AN280" s="13">
        <v>380</v>
      </c>
      <c r="AO280" s="13">
        <v>0</v>
      </c>
      <c r="AP280" s="13">
        <v>0</v>
      </c>
      <c r="AQ280" s="12">
        <v>7438</v>
      </c>
      <c r="AR280" s="13">
        <v>1077.9710144927535</v>
      </c>
      <c r="AS280" s="17" t="s">
        <v>103</v>
      </c>
    </row>
    <row r="281" spans="1:45" x14ac:dyDescent="0.25">
      <c r="A281" s="22">
        <v>45869</v>
      </c>
      <c r="B281" s="10" t="str">
        <f t="shared" si="105"/>
        <v>2025</v>
      </c>
      <c r="C281" s="10" t="str">
        <f t="shared" si="106"/>
        <v>July</v>
      </c>
      <c r="D281" s="10"/>
      <c r="E281" s="11">
        <v>745</v>
      </c>
      <c r="F281" s="12">
        <v>10057.5</v>
      </c>
      <c r="G281" s="13">
        <v>1142.8977272727273</v>
      </c>
      <c r="H281" s="14" t="s">
        <v>31</v>
      </c>
      <c r="I281" s="6">
        <v>0</v>
      </c>
      <c r="J281" s="6">
        <v>57</v>
      </c>
      <c r="K281" s="6"/>
      <c r="L281" s="6">
        <v>6373</v>
      </c>
      <c r="M281" s="6">
        <v>2884</v>
      </c>
      <c r="N281" s="6">
        <v>3489</v>
      </c>
      <c r="O281" s="6"/>
      <c r="P281" s="6">
        <v>3344</v>
      </c>
      <c r="Q281" s="6">
        <v>0</v>
      </c>
      <c r="R281" s="6">
        <v>0</v>
      </c>
      <c r="S281" s="6">
        <v>0</v>
      </c>
      <c r="T281" s="6">
        <v>0</v>
      </c>
      <c r="U281" s="14" t="s">
        <v>98</v>
      </c>
      <c r="V281" s="14" t="s">
        <v>84</v>
      </c>
      <c r="W281" s="6">
        <v>11</v>
      </c>
      <c r="X281" s="6">
        <v>8.8000000000000007</v>
      </c>
      <c r="Y281" s="15">
        <v>0.94117647058823539</v>
      </c>
      <c r="Z281" s="16">
        <v>0.8</v>
      </c>
      <c r="AA281" s="16"/>
      <c r="AB281" s="16"/>
      <c r="AC281" s="13">
        <v>0</v>
      </c>
      <c r="AD281" s="13">
        <v>0</v>
      </c>
      <c r="AE281" s="13">
        <v>724.20454545454538</v>
      </c>
      <c r="AF281" s="12">
        <f t="shared" si="98"/>
        <v>327.72727272727269</v>
      </c>
      <c r="AG281" s="12">
        <f t="shared" si="99"/>
        <v>396.47727272727269</v>
      </c>
      <c r="AH281" s="12">
        <f t="shared" si="100"/>
        <v>0</v>
      </c>
      <c r="AI281" s="12">
        <f t="shared" si="101"/>
        <v>0.28675118071091227</v>
      </c>
      <c r="AJ281" s="12">
        <f t="shared" si="102"/>
        <v>0.34690529455630126</v>
      </c>
      <c r="AK281" s="12">
        <f t="shared" si="103"/>
        <v>0</v>
      </c>
      <c r="AL281" s="12">
        <f t="shared" si="104"/>
        <v>0.63365647526721358</v>
      </c>
      <c r="AM281" s="13">
        <v>0</v>
      </c>
      <c r="AN281" s="13">
        <v>379.99999999999994</v>
      </c>
      <c r="AO281" s="13">
        <v>0</v>
      </c>
      <c r="AP281" s="13">
        <v>0</v>
      </c>
      <c r="AQ281" s="12">
        <v>9717</v>
      </c>
      <c r="AR281" s="13">
        <v>1104.2045454545453</v>
      </c>
      <c r="AS281" s="17" t="s">
        <v>89</v>
      </c>
    </row>
    <row r="282" spans="1:45" x14ac:dyDescent="0.25">
      <c r="A282" s="22">
        <v>45870</v>
      </c>
      <c r="B282" s="10" t="str">
        <f t="shared" si="105"/>
        <v>2025</v>
      </c>
      <c r="C282" s="10" t="str">
        <f t="shared" si="106"/>
        <v>August</v>
      </c>
      <c r="D282" s="10"/>
      <c r="E282" s="11">
        <v>278</v>
      </c>
      <c r="F282" s="12">
        <v>3753</v>
      </c>
      <c r="G282" s="13">
        <v>834</v>
      </c>
      <c r="H282" s="14" t="s">
        <v>31</v>
      </c>
      <c r="I282" s="6">
        <v>0</v>
      </c>
      <c r="J282" s="6">
        <v>57</v>
      </c>
      <c r="K282" s="6"/>
      <c r="L282" s="6">
        <v>2613</v>
      </c>
      <c r="M282" s="6">
        <v>1179</v>
      </c>
      <c r="N282" s="6">
        <v>1434</v>
      </c>
      <c r="O282" s="6"/>
      <c r="P282" s="6">
        <v>1735</v>
      </c>
      <c r="Q282" s="6">
        <v>0</v>
      </c>
      <c r="R282" s="6">
        <v>0</v>
      </c>
      <c r="S282" s="6">
        <v>0</v>
      </c>
      <c r="T282" s="6">
        <v>0</v>
      </c>
      <c r="U282" s="14" t="s">
        <v>98</v>
      </c>
      <c r="V282" s="14" t="s">
        <v>84</v>
      </c>
      <c r="W282" s="6">
        <v>11</v>
      </c>
      <c r="X282" s="6">
        <v>4.5</v>
      </c>
      <c r="Y282" s="15">
        <v>0.48128342245989308</v>
      </c>
      <c r="Z282" s="16">
        <v>0.40909090909090912</v>
      </c>
      <c r="AA282" s="16"/>
      <c r="AB282" s="16"/>
      <c r="AC282" s="13">
        <v>0</v>
      </c>
      <c r="AD282" s="13">
        <v>0</v>
      </c>
      <c r="AE282" s="13">
        <v>580.66666666666663</v>
      </c>
      <c r="AF282" s="12">
        <f t="shared" si="98"/>
        <v>262</v>
      </c>
      <c r="AG282" s="12">
        <f t="shared" si="99"/>
        <v>318.66666666666669</v>
      </c>
      <c r="AH282" s="12">
        <f t="shared" si="100"/>
        <v>0</v>
      </c>
      <c r="AI282" s="12">
        <f t="shared" si="101"/>
        <v>0.31414868105515587</v>
      </c>
      <c r="AJ282" s="12">
        <f t="shared" si="102"/>
        <v>0.38209432454036768</v>
      </c>
      <c r="AK282" s="12">
        <f t="shared" si="103"/>
        <v>0</v>
      </c>
      <c r="AL282" s="12">
        <f t="shared" si="104"/>
        <v>0.69624300559552355</v>
      </c>
      <c r="AM282" s="13">
        <v>0</v>
      </c>
      <c r="AN282" s="13">
        <v>385.55555555555554</v>
      </c>
      <c r="AO282" s="13">
        <v>0</v>
      </c>
      <c r="AP282" s="13">
        <v>0</v>
      </c>
      <c r="AQ282" s="12">
        <v>4348</v>
      </c>
      <c r="AR282" s="13">
        <v>966.22222222222217</v>
      </c>
      <c r="AS282" s="17" t="s">
        <v>104</v>
      </c>
    </row>
    <row r="283" spans="1:45" x14ac:dyDescent="0.25">
      <c r="A283" s="22">
        <v>45871</v>
      </c>
      <c r="B283" s="10" t="str">
        <f t="shared" si="105"/>
        <v>2025</v>
      </c>
      <c r="C283" s="10" t="str">
        <f t="shared" si="106"/>
        <v>August</v>
      </c>
      <c r="D283" s="10"/>
      <c r="E283" s="11"/>
      <c r="F283" s="12"/>
      <c r="G283" s="13"/>
      <c r="H283" s="14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14"/>
      <c r="V283" s="14"/>
      <c r="W283" s="6"/>
      <c r="X283" s="6"/>
      <c r="Y283" s="15"/>
      <c r="Z283" s="16">
        <v>0</v>
      </c>
      <c r="AA283" s="16"/>
      <c r="AB283" s="16"/>
      <c r="AC283" s="13"/>
      <c r="AD283" s="13"/>
      <c r="AE283" s="13"/>
      <c r="AF283" s="12"/>
      <c r="AG283" s="12"/>
      <c r="AH283" s="12"/>
      <c r="AI283" s="12"/>
      <c r="AJ283" s="12"/>
      <c r="AK283" s="12"/>
      <c r="AL283" s="12"/>
      <c r="AM283" s="13"/>
      <c r="AN283" s="13"/>
      <c r="AO283" s="13"/>
      <c r="AP283" s="13"/>
      <c r="AQ283" s="12"/>
      <c r="AR283" s="13"/>
      <c r="AS283" s="17"/>
    </row>
    <row r="284" spans="1:45" x14ac:dyDescent="0.25">
      <c r="A284" s="22">
        <v>45874</v>
      </c>
      <c r="B284" s="10" t="str">
        <f t="shared" si="105"/>
        <v>2025</v>
      </c>
      <c r="C284" s="10" t="str">
        <f t="shared" si="106"/>
        <v>August</v>
      </c>
      <c r="D284" s="10"/>
      <c r="E284" s="11">
        <v>716</v>
      </c>
      <c r="F284" s="12">
        <v>9666</v>
      </c>
      <c r="G284" s="13">
        <v>1017.4736842105264</v>
      </c>
      <c r="H284" s="14" t="s">
        <v>31</v>
      </c>
      <c r="I284" s="6">
        <v>0</v>
      </c>
      <c r="J284" s="6">
        <v>57</v>
      </c>
      <c r="K284" s="6"/>
      <c r="L284" s="6">
        <v>6956</v>
      </c>
      <c r="M284" s="6">
        <v>2946</v>
      </c>
      <c r="N284" s="6">
        <v>4010</v>
      </c>
      <c r="O284" s="6"/>
      <c r="P284" s="6">
        <v>3610</v>
      </c>
      <c r="Q284" s="6">
        <v>0</v>
      </c>
      <c r="R284" s="6">
        <v>0</v>
      </c>
      <c r="S284" s="6">
        <v>0</v>
      </c>
      <c r="T284" s="6">
        <v>0</v>
      </c>
      <c r="U284" s="14" t="s">
        <v>91</v>
      </c>
      <c r="V284" s="14" t="s">
        <v>105</v>
      </c>
      <c r="W284" s="6">
        <v>12</v>
      </c>
      <c r="X284" s="6">
        <v>9.5</v>
      </c>
      <c r="Y284" s="15">
        <v>0.93137254901960786</v>
      </c>
      <c r="Z284" s="16">
        <v>0.79166666666666663</v>
      </c>
      <c r="AA284" s="16"/>
      <c r="AB284" s="16"/>
      <c r="AC284" s="13">
        <v>0</v>
      </c>
      <c r="AD284" s="13">
        <v>0</v>
      </c>
      <c r="AE284" s="13">
        <v>732.21052631578948</v>
      </c>
      <c r="AF284" s="12">
        <f t="shared" si="98"/>
        <v>310.10526315789474</v>
      </c>
      <c r="AG284" s="12">
        <f t="shared" si="99"/>
        <v>422.10526315789474</v>
      </c>
      <c r="AH284" s="12">
        <f t="shared" si="100"/>
        <v>0</v>
      </c>
      <c r="AI284" s="12">
        <f t="shared" si="101"/>
        <v>0.30477963997517071</v>
      </c>
      <c r="AJ284" s="12">
        <f t="shared" si="102"/>
        <v>0.41485619697910203</v>
      </c>
      <c r="AK284" s="12">
        <f t="shared" si="103"/>
        <v>0</v>
      </c>
      <c r="AL284" s="12">
        <f t="shared" si="104"/>
        <v>0.7196358369542728</v>
      </c>
      <c r="AM284" s="13">
        <v>0</v>
      </c>
      <c r="AN284" s="13">
        <v>380</v>
      </c>
      <c r="AO284" s="13">
        <v>0</v>
      </c>
      <c r="AP284" s="13">
        <v>0</v>
      </c>
      <c r="AQ284" s="12">
        <v>10566</v>
      </c>
      <c r="AR284" s="13">
        <v>1112.2105263157896</v>
      </c>
      <c r="AS284" s="17" t="s">
        <v>106</v>
      </c>
    </row>
    <row r="285" spans="1:45" x14ac:dyDescent="0.25">
      <c r="A285" s="22">
        <v>45875</v>
      </c>
      <c r="B285" s="10" t="str">
        <f t="shared" si="105"/>
        <v>2025</v>
      </c>
      <c r="C285" s="10" t="str">
        <f t="shared" si="106"/>
        <v>August</v>
      </c>
      <c r="D285" s="10"/>
      <c r="E285" s="11">
        <v>484</v>
      </c>
      <c r="F285" s="12">
        <v>6534</v>
      </c>
      <c r="G285" s="13">
        <v>920.28169014084517</v>
      </c>
      <c r="H285" s="14" t="s">
        <v>31</v>
      </c>
      <c r="I285" s="6">
        <v>0</v>
      </c>
      <c r="J285" s="6">
        <v>57</v>
      </c>
      <c r="K285" s="6"/>
      <c r="L285" s="6">
        <v>4634</v>
      </c>
      <c r="M285" s="6">
        <v>1906</v>
      </c>
      <c r="N285" s="6">
        <v>2728</v>
      </c>
      <c r="O285" s="6"/>
      <c r="P285" s="6">
        <v>2698</v>
      </c>
      <c r="Q285" s="6">
        <v>0</v>
      </c>
      <c r="R285" s="6">
        <v>0</v>
      </c>
      <c r="S285" s="6">
        <v>0</v>
      </c>
      <c r="T285" s="6">
        <v>0</v>
      </c>
      <c r="U285" s="14" t="s">
        <v>91</v>
      </c>
      <c r="V285" s="14" t="s">
        <v>105</v>
      </c>
      <c r="W285" s="6">
        <v>10</v>
      </c>
      <c r="X285" s="6">
        <v>7.1</v>
      </c>
      <c r="Y285" s="15">
        <v>0.83529411764705874</v>
      </c>
      <c r="Z285" s="16">
        <v>0.71</v>
      </c>
      <c r="AA285" s="16"/>
      <c r="AB285" s="16"/>
      <c r="AC285" s="13">
        <v>0</v>
      </c>
      <c r="AD285" s="13">
        <v>0</v>
      </c>
      <c r="AE285" s="13">
        <v>652.67605633802816</v>
      </c>
      <c r="AF285" s="12">
        <f t="shared" si="98"/>
        <v>268.45070422535213</v>
      </c>
      <c r="AG285" s="12">
        <f t="shared" si="99"/>
        <v>384.22535211267609</v>
      </c>
      <c r="AH285" s="12">
        <f t="shared" si="100"/>
        <v>0</v>
      </c>
      <c r="AI285" s="12">
        <f t="shared" si="101"/>
        <v>0.29170492806856441</v>
      </c>
      <c r="AJ285" s="12">
        <f t="shared" si="102"/>
        <v>0.4175084175084175</v>
      </c>
      <c r="AK285" s="12">
        <f t="shared" si="103"/>
        <v>0</v>
      </c>
      <c r="AL285" s="12">
        <f t="shared" si="104"/>
        <v>0.7092133455769819</v>
      </c>
      <c r="AM285" s="13">
        <v>0</v>
      </c>
      <c r="AN285" s="13">
        <v>380</v>
      </c>
      <c r="AO285" s="13">
        <v>0</v>
      </c>
      <c r="AP285" s="13">
        <v>0</v>
      </c>
      <c r="AQ285" s="12">
        <v>7332</v>
      </c>
      <c r="AR285" s="13">
        <v>1032.676056338028</v>
      </c>
      <c r="AS285" s="17" t="s">
        <v>107</v>
      </c>
    </row>
    <row r="286" spans="1:45" x14ac:dyDescent="0.25">
      <c r="A286" s="22">
        <v>45876</v>
      </c>
      <c r="B286" s="10" t="str">
        <f t="shared" si="105"/>
        <v>2025</v>
      </c>
      <c r="C286" s="10" t="str">
        <f t="shared" si="106"/>
        <v>August</v>
      </c>
      <c r="D286" s="10"/>
      <c r="E286" s="11">
        <v>436</v>
      </c>
      <c r="F286" s="12">
        <v>5886</v>
      </c>
      <c r="G286" s="13">
        <v>1435.6097560975611</v>
      </c>
      <c r="H286" s="14" t="s">
        <v>31</v>
      </c>
      <c r="I286" s="6">
        <v>0</v>
      </c>
      <c r="J286" s="6">
        <v>57</v>
      </c>
      <c r="K286" s="6"/>
      <c r="L286" s="6">
        <v>3804</v>
      </c>
      <c r="M286" s="6">
        <v>1626</v>
      </c>
      <c r="N286" s="6">
        <v>2178</v>
      </c>
      <c r="O286" s="6"/>
      <c r="P286" s="6">
        <v>1583</v>
      </c>
      <c r="Q286" s="6">
        <v>0</v>
      </c>
      <c r="R286" s="6">
        <v>0</v>
      </c>
      <c r="S286" s="6">
        <v>0</v>
      </c>
      <c r="T286" s="6">
        <v>0</v>
      </c>
      <c r="U286" s="14" t="s">
        <v>91</v>
      </c>
      <c r="V286" s="14" t="s">
        <v>105</v>
      </c>
      <c r="W286" s="6">
        <v>10</v>
      </c>
      <c r="X286" s="6">
        <v>4.0999999999999996</v>
      </c>
      <c r="Y286" s="15">
        <v>0.48235294117647054</v>
      </c>
      <c r="Z286" s="16">
        <v>0.41</v>
      </c>
      <c r="AA286" s="16"/>
      <c r="AB286" s="16"/>
      <c r="AC286" s="13">
        <v>0</v>
      </c>
      <c r="AD286" s="13">
        <v>0</v>
      </c>
      <c r="AE286" s="13">
        <v>927.80487804878055</v>
      </c>
      <c r="AF286" s="12">
        <f t="shared" si="98"/>
        <v>396.58536585365857</v>
      </c>
      <c r="AG286" s="12">
        <f t="shared" si="99"/>
        <v>531.21951219512198</v>
      </c>
      <c r="AH286" s="12">
        <f t="shared" si="100"/>
        <v>0</v>
      </c>
      <c r="AI286" s="12">
        <f t="shared" si="101"/>
        <v>0.2762487257900102</v>
      </c>
      <c r="AJ286" s="12">
        <f t="shared" si="102"/>
        <v>0.37003058103975534</v>
      </c>
      <c r="AK286" s="12">
        <f t="shared" si="103"/>
        <v>0</v>
      </c>
      <c r="AL286" s="12">
        <f t="shared" si="104"/>
        <v>0.64627930682976553</v>
      </c>
      <c r="AM286" s="13">
        <v>0</v>
      </c>
      <c r="AN286" s="13">
        <v>386.09756097560978</v>
      </c>
      <c r="AO286" s="13">
        <v>0</v>
      </c>
      <c r="AP286" s="13">
        <v>0</v>
      </c>
      <c r="AQ286" s="12">
        <v>5387</v>
      </c>
      <c r="AR286" s="13">
        <v>1313.9024390243903</v>
      </c>
      <c r="AS286" s="17" t="s">
        <v>108</v>
      </c>
    </row>
    <row r="287" spans="1:45" x14ac:dyDescent="0.25">
      <c r="A287" s="22">
        <v>45877</v>
      </c>
      <c r="B287" s="10" t="str">
        <f t="shared" si="105"/>
        <v>2025</v>
      </c>
      <c r="C287" s="10" t="str">
        <f t="shared" si="106"/>
        <v>August</v>
      </c>
      <c r="D287" s="10"/>
      <c r="E287" s="11">
        <v>662</v>
      </c>
      <c r="F287" s="12">
        <v>8937</v>
      </c>
      <c r="G287" s="13">
        <v>1015.5681818181818</v>
      </c>
      <c r="H287" s="14" t="s">
        <v>31</v>
      </c>
      <c r="I287" s="6">
        <v>0</v>
      </c>
      <c r="J287" s="6">
        <v>57</v>
      </c>
      <c r="K287" s="6"/>
      <c r="L287" s="6">
        <v>6271</v>
      </c>
      <c r="M287" s="6">
        <v>2594</v>
      </c>
      <c r="N287" s="6">
        <v>3677</v>
      </c>
      <c r="O287" s="6"/>
      <c r="P287" s="6">
        <v>3356</v>
      </c>
      <c r="Q287" s="6">
        <v>0</v>
      </c>
      <c r="R287" s="6">
        <v>0</v>
      </c>
      <c r="S287" s="6">
        <v>0</v>
      </c>
      <c r="T287" s="6">
        <v>0</v>
      </c>
      <c r="U287" s="14" t="s">
        <v>91</v>
      </c>
      <c r="V287" s="14" t="s">
        <v>84</v>
      </c>
      <c r="W287" s="6">
        <v>12</v>
      </c>
      <c r="X287" s="6">
        <v>8.8000000000000007</v>
      </c>
      <c r="Y287" s="15">
        <v>0.86274509803921584</v>
      </c>
      <c r="Z287" s="16">
        <v>0.73333333333333339</v>
      </c>
      <c r="AA287" s="16"/>
      <c r="AB287" s="16"/>
      <c r="AC287" s="13">
        <v>0</v>
      </c>
      <c r="AD287" s="13">
        <v>0</v>
      </c>
      <c r="AE287" s="13">
        <v>712.61363636363626</v>
      </c>
      <c r="AF287" s="12">
        <f t="shared" si="98"/>
        <v>294.77272727272725</v>
      </c>
      <c r="AG287" s="12">
        <f t="shared" si="99"/>
        <v>417.84090909090907</v>
      </c>
      <c r="AH287" s="12">
        <f t="shared" si="100"/>
        <v>0</v>
      </c>
      <c r="AI287" s="12">
        <f t="shared" si="101"/>
        <v>0.29025400022378872</v>
      </c>
      <c r="AJ287" s="12">
        <f t="shared" si="102"/>
        <v>0.41143560478907909</v>
      </c>
      <c r="AK287" s="12">
        <f t="shared" si="103"/>
        <v>0</v>
      </c>
      <c r="AL287" s="12">
        <f t="shared" si="104"/>
        <v>0.70168960501286781</v>
      </c>
      <c r="AM287" s="13">
        <v>0</v>
      </c>
      <c r="AN287" s="13">
        <v>381.36363636363632</v>
      </c>
      <c r="AO287" s="13">
        <v>0</v>
      </c>
      <c r="AP287" s="13">
        <v>0</v>
      </c>
      <c r="AQ287" s="12">
        <v>9627</v>
      </c>
      <c r="AR287" s="13">
        <v>1093.9772727272725</v>
      </c>
      <c r="AS287" s="17" t="s">
        <v>109</v>
      </c>
    </row>
    <row r="288" spans="1:45" x14ac:dyDescent="0.25">
      <c r="A288" s="22">
        <v>45880</v>
      </c>
      <c r="B288" s="10" t="str">
        <f t="shared" si="105"/>
        <v>2025</v>
      </c>
      <c r="C288" s="10" t="str">
        <f t="shared" si="106"/>
        <v>August</v>
      </c>
      <c r="D288" s="10"/>
      <c r="E288" s="11">
        <v>749</v>
      </c>
      <c r="F288" s="12">
        <v>10111.5</v>
      </c>
      <c r="G288" s="13">
        <v>963</v>
      </c>
      <c r="H288" s="14" t="s">
        <v>31</v>
      </c>
      <c r="I288" s="6">
        <v>0</v>
      </c>
      <c r="J288" s="6">
        <v>57</v>
      </c>
      <c r="K288" s="6"/>
      <c r="L288" s="6">
        <v>7148</v>
      </c>
      <c r="M288" s="6">
        <v>2910</v>
      </c>
      <c r="N288" s="6">
        <v>4238</v>
      </c>
      <c r="O288" s="6"/>
      <c r="P288" s="6">
        <v>3990</v>
      </c>
      <c r="Q288" s="6">
        <v>0</v>
      </c>
      <c r="R288" s="6">
        <v>0</v>
      </c>
      <c r="S288" s="6">
        <v>0</v>
      </c>
      <c r="T288" s="6">
        <v>0</v>
      </c>
      <c r="U288" s="14" t="s">
        <v>91</v>
      </c>
      <c r="V288" s="14" t="s">
        <v>84</v>
      </c>
      <c r="W288" s="6">
        <v>12</v>
      </c>
      <c r="X288" s="6">
        <v>10.5</v>
      </c>
      <c r="Y288" s="15">
        <v>1.0294117647058825</v>
      </c>
      <c r="Z288" s="16">
        <v>0.875</v>
      </c>
      <c r="AA288" s="16"/>
      <c r="AB288" s="16"/>
      <c r="AC288" s="13">
        <v>0</v>
      </c>
      <c r="AD288" s="13">
        <v>0</v>
      </c>
      <c r="AE288" s="13">
        <v>680.76190476190482</v>
      </c>
      <c r="AF288" s="12">
        <f t="shared" si="98"/>
        <v>277.14285714285717</v>
      </c>
      <c r="AG288" s="12">
        <f t="shared" si="99"/>
        <v>403.61904761904759</v>
      </c>
      <c r="AH288" s="12">
        <f t="shared" si="100"/>
        <v>0</v>
      </c>
      <c r="AI288" s="12">
        <f t="shared" si="101"/>
        <v>0.28779112891262426</v>
      </c>
      <c r="AJ288" s="12">
        <f t="shared" si="102"/>
        <v>0.41912673688374624</v>
      </c>
      <c r="AK288" s="12">
        <f t="shared" si="103"/>
        <v>0</v>
      </c>
      <c r="AL288" s="12">
        <f t="shared" si="104"/>
        <v>0.7069178657963705</v>
      </c>
      <c r="AM288" s="13">
        <v>0</v>
      </c>
      <c r="AN288" s="13">
        <v>380</v>
      </c>
      <c r="AO288" s="13">
        <v>0</v>
      </c>
      <c r="AP288" s="13">
        <v>0</v>
      </c>
      <c r="AQ288" s="12">
        <v>11138</v>
      </c>
      <c r="AR288" s="13">
        <v>1060.7619047619048</v>
      </c>
      <c r="AS288" s="17"/>
    </row>
    <row r="289" spans="1:45" x14ac:dyDescent="0.25">
      <c r="A289" s="22">
        <v>45881</v>
      </c>
      <c r="B289" s="10" t="str">
        <f t="shared" si="105"/>
        <v>2025</v>
      </c>
      <c r="C289" s="10" t="str">
        <f t="shared" si="106"/>
        <v>August</v>
      </c>
      <c r="D289" s="10"/>
      <c r="E289" s="11">
        <v>647</v>
      </c>
      <c r="F289" s="12">
        <v>8734.5</v>
      </c>
      <c r="G289" s="13">
        <v>1134.3506493506493</v>
      </c>
      <c r="H289" s="14" t="s">
        <v>31</v>
      </c>
      <c r="I289" s="6">
        <v>0</v>
      </c>
      <c r="J289" s="6">
        <v>57</v>
      </c>
      <c r="K289" s="6"/>
      <c r="L289" s="6">
        <v>5870</v>
      </c>
      <c r="M289" s="6">
        <v>2415</v>
      </c>
      <c r="N289" s="6">
        <v>3455</v>
      </c>
      <c r="O289" s="6"/>
      <c r="P289" s="6">
        <v>2926</v>
      </c>
      <c r="Q289" s="6">
        <v>0</v>
      </c>
      <c r="R289" s="6">
        <v>0</v>
      </c>
      <c r="S289" s="6">
        <v>0</v>
      </c>
      <c r="T289" s="6">
        <v>0</v>
      </c>
      <c r="U289" s="14" t="s">
        <v>91</v>
      </c>
      <c r="V289" s="14" t="s">
        <v>84</v>
      </c>
      <c r="W289" s="6">
        <v>12</v>
      </c>
      <c r="X289" s="6">
        <v>7.7</v>
      </c>
      <c r="Y289" s="15">
        <v>0.75490196078431382</v>
      </c>
      <c r="Z289" s="16">
        <v>0.64166666666666672</v>
      </c>
      <c r="AA289" s="16"/>
      <c r="AB289" s="16"/>
      <c r="AC289" s="13">
        <v>0</v>
      </c>
      <c r="AD289" s="13">
        <v>0</v>
      </c>
      <c r="AE289" s="13">
        <v>762.33766233766232</v>
      </c>
      <c r="AF289" s="12">
        <f t="shared" si="98"/>
        <v>313.63636363636363</v>
      </c>
      <c r="AG289" s="12">
        <f t="shared" si="99"/>
        <v>448.7012987012987</v>
      </c>
      <c r="AH289" s="12">
        <f t="shared" si="100"/>
        <v>0</v>
      </c>
      <c r="AI289" s="12">
        <f t="shared" si="101"/>
        <v>0.27648978189936457</v>
      </c>
      <c r="AJ289" s="12">
        <f t="shared" si="102"/>
        <v>0.39555784532600607</v>
      </c>
      <c r="AK289" s="12">
        <f t="shared" si="103"/>
        <v>0</v>
      </c>
      <c r="AL289" s="12">
        <f t="shared" si="104"/>
        <v>0.67204762722537059</v>
      </c>
      <c r="AM289" s="13">
        <v>0</v>
      </c>
      <c r="AN289" s="13">
        <v>380</v>
      </c>
      <c r="AO289" s="13">
        <v>0</v>
      </c>
      <c r="AP289" s="13">
        <v>0</v>
      </c>
      <c r="AQ289" s="12">
        <v>8796</v>
      </c>
      <c r="AR289" s="13">
        <v>1142.3376623376623</v>
      </c>
      <c r="AS289" s="17" t="s">
        <v>110</v>
      </c>
    </row>
    <row r="290" spans="1:45" x14ac:dyDescent="0.25">
      <c r="A290" s="22">
        <v>45882</v>
      </c>
      <c r="B290" s="10" t="str">
        <f t="shared" si="105"/>
        <v>2025</v>
      </c>
      <c r="C290" s="10" t="str">
        <f t="shared" si="106"/>
        <v>August</v>
      </c>
      <c r="D290" s="10"/>
      <c r="E290" s="11"/>
      <c r="F290" s="12"/>
      <c r="G290" s="13"/>
      <c r="H290" s="14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14"/>
      <c r="V290" s="14"/>
      <c r="W290" s="6"/>
      <c r="X290" s="6"/>
      <c r="Y290" s="15"/>
      <c r="Z290" s="16">
        <v>0</v>
      </c>
      <c r="AA290" s="16"/>
      <c r="AB290" s="16"/>
      <c r="AC290" s="13"/>
      <c r="AD290" s="13"/>
      <c r="AE290" s="13"/>
      <c r="AF290" s="12"/>
      <c r="AG290" s="12"/>
      <c r="AH290" s="12"/>
      <c r="AI290" s="12"/>
      <c r="AJ290" s="12"/>
      <c r="AK290" s="12"/>
      <c r="AL290" s="12"/>
      <c r="AM290" s="13"/>
      <c r="AN290" s="13"/>
      <c r="AO290" s="13"/>
      <c r="AP290" s="13"/>
      <c r="AQ290" s="12"/>
      <c r="AR290" s="13"/>
      <c r="AS290" s="17"/>
    </row>
    <row r="291" spans="1:45" x14ac:dyDescent="0.25">
      <c r="A291" s="22">
        <v>45883</v>
      </c>
      <c r="B291" s="10" t="str">
        <f t="shared" si="105"/>
        <v>2025</v>
      </c>
      <c r="C291" s="10" t="str">
        <f t="shared" si="106"/>
        <v>August</v>
      </c>
      <c r="D291" s="10"/>
      <c r="E291" s="11">
        <v>666</v>
      </c>
      <c r="F291" s="12">
        <v>8991</v>
      </c>
      <c r="G291" s="13">
        <v>977.28260869565224</v>
      </c>
      <c r="H291" s="14" t="s">
        <v>31</v>
      </c>
      <c r="I291" s="6">
        <v>0</v>
      </c>
      <c r="J291" s="6">
        <v>57</v>
      </c>
      <c r="K291" s="6"/>
      <c r="L291" s="6">
        <v>6450</v>
      </c>
      <c r="M291" s="6">
        <v>2721</v>
      </c>
      <c r="N291" s="6">
        <v>3729</v>
      </c>
      <c r="O291" s="6"/>
      <c r="P291" s="6">
        <v>3496</v>
      </c>
      <c r="Q291" s="6">
        <v>0</v>
      </c>
      <c r="R291" s="6">
        <v>0</v>
      </c>
      <c r="S291" s="6">
        <v>0</v>
      </c>
      <c r="T291" s="6">
        <v>0</v>
      </c>
      <c r="U291" s="14" t="s">
        <v>56</v>
      </c>
      <c r="V291" s="14" t="s">
        <v>84</v>
      </c>
      <c r="W291" s="6">
        <v>12</v>
      </c>
      <c r="X291" s="6">
        <v>9.1999999999999993</v>
      </c>
      <c r="Y291" s="15">
        <v>0.90196078431372551</v>
      </c>
      <c r="Z291" s="16">
        <v>0.76666666666666661</v>
      </c>
      <c r="AA291" s="16"/>
      <c r="AB291" s="16"/>
      <c r="AC291" s="13">
        <v>0</v>
      </c>
      <c r="AD291" s="13">
        <v>0</v>
      </c>
      <c r="AE291" s="13">
        <v>701.08695652173924</v>
      </c>
      <c r="AF291" s="12">
        <f t="shared" si="98"/>
        <v>295.76086956521743</v>
      </c>
      <c r="AG291" s="12">
        <f t="shared" si="99"/>
        <v>405.32608695652175</v>
      </c>
      <c r="AH291" s="12">
        <f t="shared" si="100"/>
        <v>0</v>
      </c>
      <c r="AI291" s="12">
        <f t="shared" si="101"/>
        <v>0.30263596930263598</v>
      </c>
      <c r="AJ291" s="12">
        <f t="shared" si="102"/>
        <v>0.41474808141474806</v>
      </c>
      <c r="AK291" s="12">
        <f t="shared" si="103"/>
        <v>0</v>
      </c>
      <c r="AL291" s="12">
        <f t="shared" si="104"/>
        <v>0.71738405071738409</v>
      </c>
      <c r="AM291" s="13">
        <v>0</v>
      </c>
      <c r="AN291" s="13">
        <v>380.00000000000006</v>
      </c>
      <c r="AO291" s="13">
        <v>0</v>
      </c>
      <c r="AP291" s="13">
        <v>0</v>
      </c>
      <c r="AQ291" s="12">
        <v>9946</v>
      </c>
      <c r="AR291" s="13">
        <v>1081.0869565217392</v>
      </c>
      <c r="AS291" s="17" t="s">
        <v>111</v>
      </c>
    </row>
    <row r="292" spans="1:45" x14ac:dyDescent="0.25">
      <c r="A292" s="22">
        <v>45884</v>
      </c>
      <c r="B292" s="10" t="str">
        <f t="shared" si="105"/>
        <v>2025</v>
      </c>
      <c r="C292" s="10" t="str">
        <f t="shared" si="106"/>
        <v>August</v>
      </c>
      <c r="D292" s="10"/>
      <c r="E292" s="11">
        <v>689</v>
      </c>
      <c r="F292" s="12">
        <v>9301.5</v>
      </c>
      <c r="G292" s="13">
        <v>930.15</v>
      </c>
      <c r="H292" s="14" t="s">
        <v>31</v>
      </c>
      <c r="I292" s="6">
        <v>0</v>
      </c>
      <c r="J292" s="6">
        <v>57</v>
      </c>
      <c r="K292" s="6"/>
      <c r="L292" s="6">
        <v>6580</v>
      </c>
      <c r="M292" s="6">
        <v>2749</v>
      </c>
      <c r="N292" s="6">
        <v>3831</v>
      </c>
      <c r="O292" s="6"/>
      <c r="P292" s="6">
        <v>3800</v>
      </c>
      <c r="Q292" s="6">
        <v>0</v>
      </c>
      <c r="R292" s="6">
        <v>0</v>
      </c>
      <c r="S292" s="6">
        <v>0</v>
      </c>
      <c r="T292" s="6">
        <v>0</v>
      </c>
      <c r="U292" s="14" t="s">
        <v>56</v>
      </c>
      <c r="V292" s="14" t="s">
        <v>84</v>
      </c>
      <c r="W292" s="6">
        <v>12</v>
      </c>
      <c r="X292" s="6">
        <v>10</v>
      </c>
      <c r="Y292" s="15">
        <v>0.98039215686274517</v>
      </c>
      <c r="Z292" s="16">
        <v>0.83333333333333337</v>
      </c>
      <c r="AA292" s="16"/>
      <c r="AB292" s="16"/>
      <c r="AC292" s="13">
        <v>0</v>
      </c>
      <c r="AD292" s="13">
        <v>0</v>
      </c>
      <c r="AE292" s="13">
        <v>658</v>
      </c>
      <c r="AF292" s="12">
        <f t="shared" si="98"/>
        <v>274.89999999999998</v>
      </c>
      <c r="AG292" s="12">
        <f t="shared" si="99"/>
        <v>383.1</v>
      </c>
      <c r="AH292" s="12">
        <f t="shared" si="100"/>
        <v>0</v>
      </c>
      <c r="AI292" s="12">
        <f t="shared" si="101"/>
        <v>0.29554372950599367</v>
      </c>
      <c r="AJ292" s="12">
        <f t="shared" si="102"/>
        <v>0.41186905337848734</v>
      </c>
      <c r="AK292" s="12">
        <f t="shared" si="103"/>
        <v>0</v>
      </c>
      <c r="AL292" s="12">
        <f t="shared" si="104"/>
        <v>0.70741278288448095</v>
      </c>
      <c r="AM292" s="13">
        <v>0</v>
      </c>
      <c r="AN292" s="13">
        <v>380</v>
      </c>
      <c r="AO292" s="13">
        <v>0</v>
      </c>
      <c r="AP292" s="13">
        <v>0</v>
      </c>
      <c r="AQ292" s="12">
        <v>10380</v>
      </c>
      <c r="AR292" s="13">
        <v>1038</v>
      </c>
      <c r="AS292" s="17"/>
    </row>
    <row r="293" spans="1:45" x14ac:dyDescent="0.25">
      <c r="A293" s="22">
        <v>45885</v>
      </c>
      <c r="B293" s="10" t="str">
        <f t="shared" si="105"/>
        <v>2025</v>
      </c>
      <c r="C293" s="10" t="str">
        <f t="shared" si="106"/>
        <v>August</v>
      </c>
      <c r="D293" s="10"/>
      <c r="E293" s="11"/>
      <c r="F293" s="12"/>
      <c r="G293" s="13"/>
      <c r="H293" s="14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14"/>
      <c r="V293" s="14"/>
      <c r="W293" s="6"/>
      <c r="X293" s="6"/>
      <c r="Y293" s="15"/>
      <c r="Z293" s="16">
        <v>0</v>
      </c>
      <c r="AA293" s="16"/>
      <c r="AB293" s="16"/>
      <c r="AC293" s="13"/>
      <c r="AD293" s="13"/>
      <c r="AE293" s="13"/>
      <c r="AF293" s="12"/>
      <c r="AG293" s="12"/>
      <c r="AH293" s="12"/>
      <c r="AI293" s="12"/>
      <c r="AJ293" s="12"/>
      <c r="AK293" s="12"/>
      <c r="AL293" s="12"/>
      <c r="AM293" s="13"/>
      <c r="AN293" s="13"/>
      <c r="AO293" s="13"/>
      <c r="AP293" s="13"/>
      <c r="AQ293" s="12"/>
      <c r="AR293" s="13"/>
      <c r="AS293" s="17"/>
    </row>
    <row r="294" spans="1:45" x14ac:dyDescent="0.25">
      <c r="A294" s="22">
        <v>45888</v>
      </c>
      <c r="B294" s="10" t="str">
        <f t="shared" si="105"/>
        <v>2025</v>
      </c>
      <c r="C294" s="10" t="str">
        <f t="shared" si="106"/>
        <v>August</v>
      </c>
      <c r="D294" s="10"/>
      <c r="E294" s="11">
        <v>645</v>
      </c>
      <c r="F294" s="12">
        <v>8707.5</v>
      </c>
      <c r="G294" s="13">
        <v>1024.4117647058824</v>
      </c>
      <c r="H294" s="14" t="s">
        <v>31</v>
      </c>
      <c r="I294" s="6">
        <v>0</v>
      </c>
      <c r="J294" s="6">
        <v>57</v>
      </c>
      <c r="K294" s="6"/>
      <c r="L294" s="6">
        <v>6420</v>
      </c>
      <c r="M294" s="6">
        <v>2720</v>
      </c>
      <c r="N294" s="6">
        <v>3700</v>
      </c>
      <c r="O294" s="6"/>
      <c r="P294" s="6">
        <v>3230</v>
      </c>
      <c r="Q294" s="6">
        <v>0</v>
      </c>
      <c r="R294" s="6">
        <v>0</v>
      </c>
      <c r="S294" s="6">
        <v>0</v>
      </c>
      <c r="T294" s="6">
        <v>0</v>
      </c>
      <c r="U294" s="14" t="s">
        <v>56</v>
      </c>
      <c r="V294" s="14" t="s">
        <v>112</v>
      </c>
      <c r="W294" s="6">
        <v>12</v>
      </c>
      <c r="X294" s="6">
        <v>8.5</v>
      </c>
      <c r="Y294" s="15">
        <v>0.83333333333333337</v>
      </c>
      <c r="Z294" s="16">
        <v>0.70833333333333337</v>
      </c>
      <c r="AA294" s="16"/>
      <c r="AB294" s="16"/>
      <c r="AC294" s="13">
        <v>0</v>
      </c>
      <c r="AD294" s="13">
        <v>0</v>
      </c>
      <c r="AE294" s="13">
        <v>755.29411764705878</v>
      </c>
      <c r="AF294" s="12">
        <f t="shared" si="98"/>
        <v>320</v>
      </c>
      <c r="AG294" s="12">
        <f t="shared" si="99"/>
        <v>435.29411764705884</v>
      </c>
      <c r="AH294" s="12">
        <f t="shared" si="100"/>
        <v>0</v>
      </c>
      <c r="AI294" s="12">
        <f t="shared" si="101"/>
        <v>0.31237438989376975</v>
      </c>
      <c r="AJ294" s="12">
        <f t="shared" si="102"/>
        <v>0.42492104507608386</v>
      </c>
      <c r="AK294" s="12">
        <f t="shared" si="103"/>
        <v>0</v>
      </c>
      <c r="AL294" s="12">
        <f t="shared" si="104"/>
        <v>0.73729543496985361</v>
      </c>
      <c r="AM294" s="13">
        <v>0</v>
      </c>
      <c r="AN294" s="13">
        <v>380</v>
      </c>
      <c r="AO294" s="13">
        <v>0</v>
      </c>
      <c r="AP294" s="13">
        <v>0</v>
      </c>
      <c r="AQ294" s="12">
        <v>9650</v>
      </c>
      <c r="AR294" s="13">
        <v>1135.2941176470588</v>
      </c>
      <c r="AS294" s="17" t="s">
        <v>113</v>
      </c>
    </row>
    <row r="295" spans="1:45" x14ac:dyDescent="0.25">
      <c r="A295" s="22">
        <v>45889</v>
      </c>
      <c r="B295" s="10" t="str">
        <f t="shared" si="105"/>
        <v>2025</v>
      </c>
      <c r="C295" s="10" t="str">
        <f t="shared" si="106"/>
        <v>August</v>
      </c>
      <c r="D295" s="10"/>
      <c r="E295" s="11">
        <v>509</v>
      </c>
      <c r="F295" s="12">
        <v>6871.5</v>
      </c>
      <c r="G295" s="13">
        <v>941.30136986301375</v>
      </c>
      <c r="H295" s="14" t="s">
        <v>31</v>
      </c>
      <c r="I295" s="6">
        <v>0</v>
      </c>
      <c r="J295" s="6">
        <v>57</v>
      </c>
      <c r="K295" s="6"/>
      <c r="L295" s="6">
        <v>5260</v>
      </c>
      <c r="M295" s="6">
        <v>2181</v>
      </c>
      <c r="N295" s="6">
        <v>3079</v>
      </c>
      <c r="O295" s="6"/>
      <c r="P295" s="6">
        <v>2774</v>
      </c>
      <c r="Q295" s="6">
        <v>0</v>
      </c>
      <c r="R295" s="6">
        <v>0</v>
      </c>
      <c r="S295" s="6">
        <v>0</v>
      </c>
      <c r="T295" s="6">
        <v>0</v>
      </c>
      <c r="U295" s="14" t="s">
        <v>56</v>
      </c>
      <c r="V295" s="14" t="s">
        <v>84</v>
      </c>
      <c r="W295" s="6">
        <v>12</v>
      </c>
      <c r="X295" s="6">
        <v>7.3</v>
      </c>
      <c r="Y295" s="15">
        <v>0.71568627450980393</v>
      </c>
      <c r="Z295" s="16">
        <v>0.60833333333333328</v>
      </c>
      <c r="AA295" s="16"/>
      <c r="AB295" s="16"/>
      <c r="AC295" s="13">
        <v>0</v>
      </c>
      <c r="AD295" s="13">
        <v>0</v>
      </c>
      <c r="AE295" s="13">
        <v>720.54794520547944</v>
      </c>
      <c r="AF295" s="12">
        <f t="shared" si="98"/>
        <v>298.76712328767127</v>
      </c>
      <c r="AG295" s="12">
        <f t="shared" si="99"/>
        <v>421.78082191780823</v>
      </c>
      <c r="AH295" s="12">
        <f t="shared" si="100"/>
        <v>0</v>
      </c>
      <c r="AI295" s="12">
        <f t="shared" si="101"/>
        <v>0.31739794804627808</v>
      </c>
      <c r="AJ295" s="12">
        <f t="shared" si="102"/>
        <v>0.44808266026340682</v>
      </c>
      <c r="AK295" s="12">
        <f t="shared" si="103"/>
        <v>0</v>
      </c>
      <c r="AL295" s="12">
        <f t="shared" si="104"/>
        <v>0.7654806083096849</v>
      </c>
      <c r="AM295" s="13">
        <v>0</v>
      </c>
      <c r="AN295" s="13">
        <v>380</v>
      </c>
      <c r="AO295" s="13">
        <v>0</v>
      </c>
      <c r="AP295" s="13">
        <v>0</v>
      </c>
      <c r="AQ295" s="12">
        <v>8034</v>
      </c>
      <c r="AR295" s="13">
        <v>1100.5479452054794</v>
      </c>
      <c r="AS295" s="17" t="s">
        <v>114</v>
      </c>
    </row>
    <row r="296" spans="1:45" x14ac:dyDescent="0.25">
      <c r="A296" s="22">
        <v>45890</v>
      </c>
      <c r="B296" s="10" t="str">
        <f t="shared" si="105"/>
        <v>2025</v>
      </c>
      <c r="C296" s="10" t="str">
        <f t="shared" si="106"/>
        <v>August</v>
      </c>
      <c r="D296" s="10"/>
      <c r="E296" s="11"/>
      <c r="F296" s="12"/>
      <c r="G296" s="13"/>
      <c r="H296" s="14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14"/>
      <c r="V296" s="14"/>
      <c r="W296" s="6"/>
      <c r="X296" s="6"/>
      <c r="Y296" s="15"/>
      <c r="Z296" s="16">
        <v>0</v>
      </c>
      <c r="AA296" s="16"/>
      <c r="AB296" s="16"/>
      <c r="AC296" s="13"/>
      <c r="AD296" s="13"/>
      <c r="AE296" s="13"/>
      <c r="AF296" s="12"/>
      <c r="AG296" s="12"/>
      <c r="AH296" s="12"/>
      <c r="AI296" s="12"/>
      <c r="AJ296" s="12"/>
      <c r="AK296" s="12"/>
      <c r="AL296" s="12"/>
      <c r="AM296" s="13"/>
      <c r="AN296" s="13"/>
      <c r="AO296" s="13"/>
      <c r="AP296" s="13"/>
      <c r="AQ296" s="12"/>
      <c r="AR296" s="13"/>
      <c r="AS296" s="17"/>
    </row>
    <row r="297" spans="1:45" x14ac:dyDescent="0.25">
      <c r="A297" s="22">
        <v>45891</v>
      </c>
      <c r="B297" s="10" t="str">
        <f t="shared" si="105"/>
        <v>2025</v>
      </c>
      <c r="C297" s="10" t="str">
        <f t="shared" si="106"/>
        <v>August</v>
      </c>
      <c r="D297" s="10"/>
      <c r="E297" s="11">
        <v>719</v>
      </c>
      <c r="F297" s="12">
        <v>9706.5</v>
      </c>
      <c r="G297" s="13">
        <v>1021.7368421052631</v>
      </c>
      <c r="H297" s="14" t="s">
        <v>31</v>
      </c>
      <c r="I297" s="6">
        <v>0</v>
      </c>
      <c r="J297" s="6">
        <v>57</v>
      </c>
      <c r="K297" s="6"/>
      <c r="L297" s="6">
        <v>7069</v>
      </c>
      <c r="M297" s="6">
        <v>2994</v>
      </c>
      <c r="N297" s="6">
        <v>4075</v>
      </c>
      <c r="O297" s="6"/>
      <c r="P297" s="6">
        <v>3610</v>
      </c>
      <c r="Q297" s="6">
        <v>0</v>
      </c>
      <c r="R297" s="6">
        <v>0</v>
      </c>
      <c r="S297" s="6">
        <v>0</v>
      </c>
      <c r="T297" s="6">
        <v>0</v>
      </c>
      <c r="U297" s="14" t="s">
        <v>56</v>
      </c>
      <c r="V297" s="14" t="s">
        <v>84</v>
      </c>
      <c r="W297" s="6">
        <v>12</v>
      </c>
      <c r="X297" s="6">
        <v>9.5</v>
      </c>
      <c r="Y297" s="15">
        <v>0.93137254901960786</v>
      </c>
      <c r="Z297" s="16">
        <v>0.79166666666666663</v>
      </c>
      <c r="AA297" s="16"/>
      <c r="AB297" s="16"/>
      <c r="AC297" s="13">
        <v>0</v>
      </c>
      <c r="AD297" s="13">
        <v>0</v>
      </c>
      <c r="AE297" s="13">
        <v>744.10526315789468</v>
      </c>
      <c r="AF297" s="12">
        <f t="shared" si="98"/>
        <v>315.15789473684208</v>
      </c>
      <c r="AG297" s="12">
        <f t="shared" si="99"/>
        <v>428.94736842105266</v>
      </c>
      <c r="AH297" s="12">
        <f t="shared" si="100"/>
        <v>0</v>
      </c>
      <c r="AI297" s="12">
        <f t="shared" si="101"/>
        <v>0.30845309843919022</v>
      </c>
      <c r="AJ297" s="12">
        <f t="shared" si="102"/>
        <v>0.41982176891773554</v>
      </c>
      <c r="AK297" s="12">
        <f t="shared" si="103"/>
        <v>0</v>
      </c>
      <c r="AL297" s="12">
        <f t="shared" si="104"/>
        <v>0.7282748673569257</v>
      </c>
      <c r="AM297" s="13">
        <v>0</v>
      </c>
      <c r="AN297" s="13">
        <v>380</v>
      </c>
      <c r="AO297" s="13">
        <v>0</v>
      </c>
      <c r="AP297" s="13">
        <v>0</v>
      </c>
      <c r="AQ297" s="12">
        <v>10679</v>
      </c>
      <c r="AR297" s="13">
        <v>1124.1052631578946</v>
      </c>
      <c r="AS297" s="17" t="s">
        <v>115</v>
      </c>
    </row>
    <row r="298" spans="1:45" x14ac:dyDescent="0.25">
      <c r="A298" s="22">
        <v>45892</v>
      </c>
      <c r="B298" s="10" t="str">
        <f t="shared" si="105"/>
        <v>2025</v>
      </c>
      <c r="C298" s="10" t="str">
        <f t="shared" si="106"/>
        <v>August</v>
      </c>
      <c r="D298" s="10"/>
      <c r="E298" s="11">
        <v>495</v>
      </c>
      <c r="F298" s="12">
        <v>6682.5</v>
      </c>
      <c r="G298" s="13">
        <v>997.38805970149247</v>
      </c>
      <c r="H298" s="14" t="s">
        <v>31</v>
      </c>
      <c r="I298" s="6">
        <v>0</v>
      </c>
      <c r="J298" s="6">
        <v>57</v>
      </c>
      <c r="K298" s="6"/>
      <c r="L298" s="6">
        <v>4240</v>
      </c>
      <c r="M298" s="6">
        <v>1773</v>
      </c>
      <c r="N298" s="6">
        <v>2467</v>
      </c>
      <c r="O298" s="6"/>
      <c r="P298" s="6">
        <v>2546</v>
      </c>
      <c r="Q298" s="6">
        <v>0</v>
      </c>
      <c r="R298" s="6">
        <v>0</v>
      </c>
      <c r="S298" s="6">
        <v>0</v>
      </c>
      <c r="T298" s="6">
        <v>0</v>
      </c>
      <c r="U298" s="14" t="s">
        <v>32</v>
      </c>
      <c r="V298" s="14" t="s">
        <v>84</v>
      </c>
      <c r="W298" s="6">
        <v>10</v>
      </c>
      <c r="X298" s="6">
        <v>6.7</v>
      </c>
      <c r="Y298" s="15">
        <v>0.78823529411764703</v>
      </c>
      <c r="Z298" s="16">
        <v>0.67</v>
      </c>
      <c r="AA298" s="16"/>
      <c r="AB298" s="16"/>
      <c r="AC298" s="13">
        <v>0</v>
      </c>
      <c r="AD298" s="13">
        <v>0</v>
      </c>
      <c r="AE298" s="13">
        <v>632.83582089552237</v>
      </c>
      <c r="AF298" s="12">
        <f t="shared" si="98"/>
        <v>264.62686567164178</v>
      </c>
      <c r="AG298" s="12">
        <f t="shared" si="99"/>
        <v>368.20895522388059</v>
      </c>
      <c r="AH298" s="12">
        <f t="shared" si="100"/>
        <v>0</v>
      </c>
      <c r="AI298" s="12">
        <f t="shared" si="101"/>
        <v>0.26531986531986534</v>
      </c>
      <c r="AJ298" s="12">
        <f t="shared" si="102"/>
        <v>0.36917321361765804</v>
      </c>
      <c r="AK298" s="12">
        <f t="shared" si="103"/>
        <v>0</v>
      </c>
      <c r="AL298" s="12">
        <f t="shared" si="104"/>
        <v>0.63449307893752338</v>
      </c>
      <c r="AM298" s="13">
        <v>0</v>
      </c>
      <c r="AN298" s="13">
        <v>380</v>
      </c>
      <c r="AO298" s="13">
        <v>0</v>
      </c>
      <c r="AP298" s="13">
        <v>0</v>
      </c>
      <c r="AQ298" s="12">
        <v>6786</v>
      </c>
      <c r="AR298" s="13">
        <v>1012.8358208955224</v>
      </c>
      <c r="AS298" s="17" t="s">
        <v>116</v>
      </c>
    </row>
    <row r="299" spans="1:45" x14ac:dyDescent="0.25">
      <c r="A299" s="22">
        <v>45893</v>
      </c>
      <c r="B299" s="10" t="str">
        <f t="shared" si="105"/>
        <v>2025</v>
      </c>
      <c r="C299" s="10" t="str">
        <f t="shared" si="106"/>
        <v>August</v>
      </c>
      <c r="D299" s="10"/>
      <c r="E299" s="11">
        <v>582</v>
      </c>
      <c r="F299" s="12">
        <v>7857</v>
      </c>
      <c r="G299" s="13">
        <v>1076.3013698630136</v>
      </c>
      <c r="H299" s="14" t="s">
        <v>31</v>
      </c>
      <c r="I299" s="6">
        <v>0</v>
      </c>
      <c r="J299" s="6">
        <v>57</v>
      </c>
      <c r="K299" s="6"/>
      <c r="L299" s="6">
        <v>5415</v>
      </c>
      <c r="M299" s="6">
        <v>2272</v>
      </c>
      <c r="N299" s="6">
        <v>3143</v>
      </c>
      <c r="O299" s="6"/>
      <c r="P299" s="6">
        <v>2774</v>
      </c>
      <c r="Q299" s="6">
        <v>0</v>
      </c>
      <c r="R299" s="6">
        <v>0</v>
      </c>
      <c r="S299" s="6">
        <v>0</v>
      </c>
      <c r="T299" s="6">
        <v>0</v>
      </c>
      <c r="U299" s="14" t="s">
        <v>32</v>
      </c>
      <c r="V299" s="14" t="s">
        <v>84</v>
      </c>
      <c r="W299" s="6">
        <v>10</v>
      </c>
      <c r="X299" s="6">
        <v>7.3</v>
      </c>
      <c r="Y299" s="15">
        <v>0.85882352941176465</v>
      </c>
      <c r="Z299" s="16">
        <v>0.73</v>
      </c>
      <c r="AA299" s="16"/>
      <c r="AB299" s="16"/>
      <c r="AC299" s="13">
        <v>0</v>
      </c>
      <c r="AD299" s="13">
        <v>0</v>
      </c>
      <c r="AE299" s="13">
        <v>741.78082191780823</v>
      </c>
      <c r="AF299" s="12">
        <f t="shared" si="98"/>
        <v>311.23287671232879</v>
      </c>
      <c r="AG299" s="12">
        <f t="shared" si="99"/>
        <v>430.54794520547944</v>
      </c>
      <c r="AH299" s="12">
        <f t="shared" si="100"/>
        <v>0</v>
      </c>
      <c r="AI299" s="12">
        <f t="shared" si="101"/>
        <v>0.28916889397989054</v>
      </c>
      <c r="AJ299" s="12">
        <f t="shared" si="102"/>
        <v>0.40002545500827286</v>
      </c>
      <c r="AK299" s="12">
        <f t="shared" si="103"/>
        <v>0</v>
      </c>
      <c r="AL299" s="12">
        <f t="shared" si="104"/>
        <v>0.68919434898816334</v>
      </c>
      <c r="AM299" s="13">
        <v>0</v>
      </c>
      <c r="AN299" s="13">
        <v>380</v>
      </c>
      <c r="AO299" s="13">
        <v>0</v>
      </c>
      <c r="AP299" s="13">
        <v>0</v>
      </c>
      <c r="AQ299" s="12">
        <v>8189</v>
      </c>
      <c r="AR299" s="13">
        <v>1121.7808219178082</v>
      </c>
      <c r="AS299" s="17" t="s">
        <v>117</v>
      </c>
    </row>
    <row r="300" spans="1:45" x14ac:dyDescent="0.25">
      <c r="A300" s="22">
        <v>45894</v>
      </c>
      <c r="B300" s="10" t="str">
        <f t="shared" si="105"/>
        <v>2025</v>
      </c>
      <c r="C300" s="10" t="str">
        <f t="shared" si="106"/>
        <v>August</v>
      </c>
      <c r="D300" s="10"/>
      <c r="E300" s="11">
        <v>786</v>
      </c>
      <c r="F300" s="12">
        <v>10611</v>
      </c>
      <c r="G300" s="13">
        <v>1061.0999999999999</v>
      </c>
      <c r="H300" s="14" t="s">
        <v>31</v>
      </c>
      <c r="I300" s="6">
        <v>0</v>
      </c>
      <c r="J300" s="6">
        <v>57</v>
      </c>
      <c r="K300" s="6"/>
      <c r="L300" s="6">
        <v>7246</v>
      </c>
      <c r="M300" s="6">
        <v>4222</v>
      </c>
      <c r="N300" s="6">
        <v>3024</v>
      </c>
      <c r="O300" s="6"/>
      <c r="P300" s="6">
        <v>3800</v>
      </c>
      <c r="Q300" s="6">
        <v>0</v>
      </c>
      <c r="R300" s="6">
        <v>0</v>
      </c>
      <c r="S300" s="6">
        <v>0</v>
      </c>
      <c r="T300" s="6">
        <v>0</v>
      </c>
      <c r="U300" s="14" t="s">
        <v>32</v>
      </c>
      <c r="V300" s="14" t="s">
        <v>84</v>
      </c>
      <c r="W300" s="6">
        <v>12</v>
      </c>
      <c r="X300" s="6">
        <v>10</v>
      </c>
      <c r="Y300" s="15">
        <v>0.98039215686274517</v>
      </c>
      <c r="Z300" s="16">
        <v>0.83333333333333337</v>
      </c>
      <c r="AA300" s="16"/>
      <c r="AB300" s="16"/>
      <c r="AC300" s="13">
        <v>0</v>
      </c>
      <c r="AD300" s="13">
        <v>0</v>
      </c>
      <c r="AE300" s="13">
        <v>724.6</v>
      </c>
      <c r="AF300" s="12">
        <f t="shared" si="98"/>
        <v>422.2</v>
      </c>
      <c r="AG300" s="12">
        <f t="shared" si="99"/>
        <v>302.39999999999998</v>
      </c>
      <c r="AH300" s="12">
        <f t="shared" si="100"/>
        <v>0</v>
      </c>
      <c r="AI300" s="12">
        <f t="shared" si="101"/>
        <v>0.39788898313071341</v>
      </c>
      <c r="AJ300" s="12">
        <f t="shared" si="102"/>
        <v>0.28498727735368956</v>
      </c>
      <c r="AK300" s="12">
        <f t="shared" si="103"/>
        <v>0</v>
      </c>
      <c r="AL300" s="12">
        <f t="shared" si="104"/>
        <v>0.68287626048440297</v>
      </c>
      <c r="AM300" s="13">
        <v>0</v>
      </c>
      <c r="AN300" s="13">
        <v>380</v>
      </c>
      <c r="AO300" s="13">
        <v>0</v>
      </c>
      <c r="AP300" s="13">
        <v>0</v>
      </c>
      <c r="AQ300" s="12">
        <v>11046</v>
      </c>
      <c r="AR300" s="13">
        <v>1104.5999999999999</v>
      </c>
      <c r="AS300" s="17" t="s">
        <v>118</v>
      </c>
    </row>
    <row r="301" spans="1:45" x14ac:dyDescent="0.25">
      <c r="A301" s="22">
        <v>45895</v>
      </c>
      <c r="B301" s="10" t="str">
        <f t="shared" si="105"/>
        <v>2025</v>
      </c>
      <c r="C301" s="10" t="str">
        <f t="shared" si="106"/>
        <v>August</v>
      </c>
      <c r="D301" s="10"/>
      <c r="E301" s="11">
        <v>637</v>
      </c>
      <c r="F301" s="12">
        <v>8599.5</v>
      </c>
      <c r="G301" s="13">
        <v>877.49999999999989</v>
      </c>
      <c r="H301" s="14" t="s">
        <v>31</v>
      </c>
      <c r="I301" s="6">
        <v>0</v>
      </c>
      <c r="J301" s="6">
        <v>57</v>
      </c>
      <c r="K301" s="6"/>
      <c r="L301" s="6">
        <v>5954</v>
      </c>
      <c r="M301" s="6">
        <v>2550</v>
      </c>
      <c r="N301" s="6">
        <v>3404</v>
      </c>
      <c r="O301" s="6"/>
      <c r="P301" s="6">
        <v>2592</v>
      </c>
      <c r="Q301" s="6">
        <v>0</v>
      </c>
      <c r="R301" s="6">
        <v>1157</v>
      </c>
      <c r="S301" s="6">
        <v>0</v>
      </c>
      <c r="T301" s="6">
        <v>0</v>
      </c>
      <c r="U301" s="14" t="s">
        <v>32</v>
      </c>
      <c r="V301" s="14" t="s">
        <v>84</v>
      </c>
      <c r="W301" s="6">
        <v>12</v>
      </c>
      <c r="X301" s="6">
        <v>9.8000000000000007</v>
      </c>
      <c r="Y301" s="15">
        <v>0.96078431372549034</v>
      </c>
      <c r="Z301" s="16">
        <v>0.81666666666666676</v>
      </c>
      <c r="AA301" s="16"/>
      <c r="AB301" s="16"/>
      <c r="AC301" s="13">
        <v>0</v>
      </c>
      <c r="AD301" s="13">
        <v>0</v>
      </c>
      <c r="AE301" s="13">
        <v>607.55102040816325</v>
      </c>
      <c r="AF301" s="12">
        <f t="shared" si="98"/>
        <v>260.20408163265301</v>
      </c>
      <c r="AG301" s="12">
        <f t="shared" si="99"/>
        <v>347.34693877551018</v>
      </c>
      <c r="AH301" s="12">
        <f t="shared" si="100"/>
        <v>0</v>
      </c>
      <c r="AI301" s="12">
        <f t="shared" si="101"/>
        <v>0.29652886795743938</v>
      </c>
      <c r="AJ301" s="12">
        <f t="shared" si="102"/>
        <v>0.39583696726553869</v>
      </c>
      <c r="AK301" s="12">
        <f t="shared" si="103"/>
        <v>0</v>
      </c>
      <c r="AL301" s="12">
        <f t="shared" si="104"/>
        <v>0.69236583522297801</v>
      </c>
      <c r="AM301" s="13">
        <v>118.0612244897959</v>
      </c>
      <c r="AN301" s="13">
        <v>264.48979591836735</v>
      </c>
      <c r="AO301" s="13">
        <v>0</v>
      </c>
      <c r="AP301" s="13">
        <v>0</v>
      </c>
      <c r="AQ301" s="12">
        <v>9703</v>
      </c>
      <c r="AR301" s="13">
        <v>990.10204081632651</v>
      </c>
      <c r="AS301" s="17" t="s">
        <v>119</v>
      </c>
    </row>
    <row r="302" spans="1:45" x14ac:dyDescent="0.25">
      <c r="A302" s="22">
        <v>45896</v>
      </c>
      <c r="B302" s="10" t="str">
        <f t="shared" si="105"/>
        <v>2025</v>
      </c>
      <c r="C302" s="10" t="str">
        <f t="shared" si="106"/>
        <v>August</v>
      </c>
      <c r="D302" s="10"/>
      <c r="E302" s="11">
        <v>489</v>
      </c>
      <c r="F302" s="12">
        <v>6601.5</v>
      </c>
      <c r="G302" s="13">
        <v>1158.1578947368421</v>
      </c>
      <c r="H302" s="14" t="s">
        <v>31</v>
      </c>
      <c r="I302" s="6">
        <v>0</v>
      </c>
      <c r="J302" s="6">
        <v>57</v>
      </c>
      <c r="K302" s="6"/>
      <c r="L302" s="6">
        <v>2290</v>
      </c>
      <c r="M302" s="6">
        <v>1100</v>
      </c>
      <c r="N302" s="6">
        <v>1190</v>
      </c>
      <c r="O302" s="6"/>
      <c r="P302" s="6">
        <v>2160</v>
      </c>
      <c r="Q302" s="6">
        <v>0</v>
      </c>
      <c r="R302" s="6">
        <v>1200</v>
      </c>
      <c r="S302" s="6">
        <v>0</v>
      </c>
      <c r="T302" s="6">
        <v>0</v>
      </c>
      <c r="U302" s="14" t="s">
        <v>32</v>
      </c>
      <c r="V302" s="14" t="s">
        <v>84</v>
      </c>
      <c r="W302" s="6">
        <v>12</v>
      </c>
      <c r="X302" s="6">
        <v>5.7</v>
      </c>
      <c r="Y302" s="15">
        <v>0.55882352941176472</v>
      </c>
      <c r="Z302" s="16">
        <v>0.47500000000000003</v>
      </c>
      <c r="AA302" s="16"/>
      <c r="AB302" s="16"/>
      <c r="AC302" s="13">
        <v>0</v>
      </c>
      <c r="AD302" s="13">
        <v>0</v>
      </c>
      <c r="AE302" s="13">
        <v>401.75438596491227</v>
      </c>
      <c r="AF302" s="12">
        <f t="shared" si="98"/>
        <v>192.98245614035088</v>
      </c>
      <c r="AG302" s="12">
        <f t="shared" si="99"/>
        <v>208.7719298245614</v>
      </c>
      <c r="AH302" s="12">
        <f t="shared" si="100"/>
        <v>0</v>
      </c>
      <c r="AI302" s="12">
        <f t="shared" si="101"/>
        <v>0.16662879648564721</v>
      </c>
      <c r="AJ302" s="12">
        <f t="shared" si="102"/>
        <v>0.18026206165265471</v>
      </c>
      <c r="AK302" s="12">
        <f t="shared" si="103"/>
        <v>0</v>
      </c>
      <c r="AL302" s="12">
        <f t="shared" si="104"/>
        <v>0.34689085813830189</v>
      </c>
      <c r="AM302" s="13">
        <v>210.52631578947367</v>
      </c>
      <c r="AN302" s="13">
        <v>378.9473684210526</v>
      </c>
      <c r="AO302" s="13">
        <v>0</v>
      </c>
      <c r="AP302" s="13">
        <v>0</v>
      </c>
      <c r="AQ302" s="12">
        <v>5650</v>
      </c>
      <c r="AR302" s="13">
        <v>991.22807017543846</v>
      </c>
      <c r="AS302" s="17" t="s">
        <v>120</v>
      </c>
    </row>
    <row r="303" spans="1:45" x14ac:dyDescent="0.25">
      <c r="A303" s="22">
        <v>45897</v>
      </c>
      <c r="B303" s="10" t="str">
        <f t="shared" si="105"/>
        <v>2025</v>
      </c>
      <c r="C303" s="10" t="str">
        <f t="shared" si="106"/>
        <v>August</v>
      </c>
      <c r="D303" s="10"/>
      <c r="E303" s="11">
        <v>716</v>
      </c>
      <c r="F303" s="12">
        <v>9666</v>
      </c>
      <c r="G303" s="13">
        <v>1098.4090909090908</v>
      </c>
      <c r="H303" s="14" t="s">
        <v>31</v>
      </c>
      <c r="I303" s="6">
        <v>0</v>
      </c>
      <c r="J303" s="6">
        <v>57</v>
      </c>
      <c r="K303" s="6"/>
      <c r="L303" s="6">
        <v>6112</v>
      </c>
      <c r="M303" s="6">
        <v>2733</v>
      </c>
      <c r="N303" s="6">
        <v>3379</v>
      </c>
      <c r="O303" s="6"/>
      <c r="P303" s="6">
        <v>2578</v>
      </c>
      <c r="Q303" s="6">
        <v>0</v>
      </c>
      <c r="R303" s="6">
        <v>788</v>
      </c>
      <c r="S303" s="6">
        <v>0</v>
      </c>
      <c r="T303" s="6">
        <v>0</v>
      </c>
      <c r="U303" s="14" t="s">
        <v>32</v>
      </c>
      <c r="V303" s="14" t="s">
        <v>84</v>
      </c>
      <c r="W303" s="6">
        <v>12</v>
      </c>
      <c r="X303" s="6">
        <v>8.8000000000000007</v>
      </c>
      <c r="Y303" s="15">
        <v>0.86274509803921584</v>
      </c>
      <c r="Z303" s="16">
        <v>0.73</v>
      </c>
      <c r="AA303" s="16"/>
      <c r="AB303" s="16"/>
      <c r="AC303" s="13">
        <v>0</v>
      </c>
      <c r="AD303" s="13">
        <v>0</v>
      </c>
      <c r="AE303" s="13">
        <v>694.5454545454545</v>
      </c>
      <c r="AF303" s="12">
        <f t="shared" ref="AF303:AF340" si="107">IF(X303="","",IF(X303=0,"",M303/X303))</f>
        <v>310.56818181818181</v>
      </c>
      <c r="AG303" s="12">
        <f t="shared" ref="AG303:AG340" si="108">IF(X303="","",IF(X303=0,"",N303/X303))</f>
        <v>383.97727272727269</v>
      </c>
      <c r="AH303" s="12">
        <f t="shared" ref="AH303:AH340" si="109">IF(X303="","",IF(X303=0,"",O303/X303))</f>
        <v>0</v>
      </c>
      <c r="AI303" s="12">
        <f t="shared" ref="AI303:AI340" si="110">IF(X303="","",IF(X303=0,"",M303/F303))</f>
        <v>0.28274363749224085</v>
      </c>
      <c r="AJ303" s="12">
        <f t="shared" ref="AJ303:AJ340" si="111">IF(X303="","",IF(X303=0,"",N303/F303))</f>
        <v>0.34957583281605625</v>
      </c>
      <c r="AK303" s="12">
        <f t="shared" ref="AK303:AK340" si="112">IF(X303="","",IF(X303=0,"",O303/F303))</f>
        <v>0</v>
      </c>
      <c r="AL303" s="12">
        <f t="shared" ref="AL303:AL340" si="113">AI303+AJ303+AK303</f>
        <v>0.63231947030829705</v>
      </c>
      <c r="AM303" s="13">
        <v>89.545454545454533</v>
      </c>
      <c r="AN303" s="13">
        <v>292.95454545454544</v>
      </c>
      <c r="AO303" s="13">
        <v>0</v>
      </c>
      <c r="AP303" s="13">
        <v>0</v>
      </c>
      <c r="AQ303" s="12">
        <v>9478</v>
      </c>
      <c r="AR303" s="13">
        <v>1077.0454545454545</v>
      </c>
      <c r="AS303" s="17"/>
    </row>
    <row r="304" spans="1:45" x14ac:dyDescent="0.25">
      <c r="A304" s="22">
        <v>45898</v>
      </c>
      <c r="B304" s="10" t="str">
        <f t="shared" si="105"/>
        <v>2025</v>
      </c>
      <c r="C304" s="10" t="str">
        <f t="shared" si="106"/>
        <v>August</v>
      </c>
      <c r="D304" s="10"/>
      <c r="E304" s="11"/>
      <c r="F304" s="12"/>
      <c r="G304" s="13"/>
      <c r="H304" s="14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14"/>
      <c r="V304" s="14"/>
      <c r="W304" s="6"/>
      <c r="X304" s="6"/>
      <c r="Y304" s="15"/>
      <c r="Z304" s="16">
        <v>0</v>
      </c>
      <c r="AA304" s="16"/>
      <c r="AB304" s="16"/>
      <c r="AC304" s="13"/>
      <c r="AD304" s="13"/>
      <c r="AE304" s="13"/>
      <c r="AF304" s="12"/>
      <c r="AG304" s="12"/>
      <c r="AH304" s="12"/>
      <c r="AI304" s="12"/>
      <c r="AJ304" s="12"/>
      <c r="AK304" s="12"/>
      <c r="AL304" s="12"/>
      <c r="AM304" s="13"/>
      <c r="AN304" s="13"/>
      <c r="AO304" s="13"/>
      <c r="AP304" s="13"/>
      <c r="AQ304" s="12"/>
      <c r="AR304" s="13"/>
      <c r="AS304" s="17"/>
    </row>
    <row r="305" spans="1:45" x14ac:dyDescent="0.25">
      <c r="A305" s="22">
        <v>45903</v>
      </c>
      <c r="B305" s="10" t="str">
        <f t="shared" si="105"/>
        <v>2025</v>
      </c>
      <c r="C305" s="10" t="str">
        <f t="shared" si="106"/>
        <v>September</v>
      </c>
      <c r="D305" s="10"/>
      <c r="E305" s="11">
        <v>722</v>
      </c>
      <c r="F305" s="12">
        <v>9747</v>
      </c>
      <c r="G305" s="13">
        <v>946.31067961165047</v>
      </c>
      <c r="H305" s="14" t="s">
        <v>31</v>
      </c>
      <c r="I305" s="6">
        <v>0</v>
      </c>
      <c r="J305" s="6">
        <v>57</v>
      </c>
      <c r="K305" s="6"/>
      <c r="L305" s="6">
        <v>7691</v>
      </c>
      <c r="M305" s="6">
        <v>3305</v>
      </c>
      <c r="N305" s="6">
        <v>4386</v>
      </c>
      <c r="O305" s="6"/>
      <c r="P305" s="6">
        <v>3926</v>
      </c>
      <c r="Q305" s="6">
        <v>0</v>
      </c>
      <c r="R305" s="6">
        <v>0</v>
      </c>
      <c r="S305" s="6">
        <v>0</v>
      </c>
      <c r="T305" s="6">
        <v>0</v>
      </c>
      <c r="U305" s="14" t="s">
        <v>121</v>
      </c>
      <c r="V305" s="14" t="s">
        <v>84</v>
      </c>
      <c r="W305" s="6">
        <v>12</v>
      </c>
      <c r="X305" s="6">
        <v>10.3</v>
      </c>
      <c r="Y305" s="15">
        <v>1.0098039215686276</v>
      </c>
      <c r="Z305" s="16">
        <v>0.85833333333333339</v>
      </c>
      <c r="AA305" s="16"/>
      <c r="AB305" s="16"/>
      <c r="AC305" s="13">
        <v>0</v>
      </c>
      <c r="AD305" s="13">
        <v>0</v>
      </c>
      <c r="AE305" s="13">
        <v>746.69902912621353</v>
      </c>
      <c r="AF305" s="12">
        <f t="shared" si="107"/>
        <v>320.87378640776694</v>
      </c>
      <c r="AG305" s="12">
        <f t="shared" si="108"/>
        <v>425.82524271844659</v>
      </c>
      <c r="AH305" s="12">
        <f t="shared" si="109"/>
        <v>0</v>
      </c>
      <c r="AI305" s="12">
        <f t="shared" si="110"/>
        <v>0.33907869087924492</v>
      </c>
      <c r="AJ305" s="12">
        <f t="shared" si="111"/>
        <v>0.44998461064943057</v>
      </c>
      <c r="AK305" s="12">
        <f t="shared" si="112"/>
        <v>0</v>
      </c>
      <c r="AL305" s="12">
        <f t="shared" si="113"/>
        <v>0.78906330152867543</v>
      </c>
      <c r="AM305" s="13">
        <v>0</v>
      </c>
      <c r="AN305" s="13">
        <v>381.1650485436893</v>
      </c>
      <c r="AO305" s="13">
        <v>0</v>
      </c>
      <c r="AP305" s="13">
        <v>0</v>
      </c>
      <c r="AQ305" s="12">
        <v>11617</v>
      </c>
      <c r="AR305" s="13">
        <v>1127.8640776699028</v>
      </c>
      <c r="AS305" s="17"/>
    </row>
    <row r="306" spans="1:45" x14ac:dyDescent="0.25">
      <c r="A306" s="22">
        <v>45904</v>
      </c>
      <c r="B306" s="10" t="str">
        <f t="shared" si="105"/>
        <v>2025</v>
      </c>
      <c r="C306" s="10" t="str">
        <f t="shared" si="106"/>
        <v>September</v>
      </c>
      <c r="D306" s="10"/>
      <c r="E306" s="11">
        <v>440</v>
      </c>
      <c r="F306" s="12">
        <v>5940</v>
      </c>
      <c r="G306" s="13">
        <v>913.84615384615381</v>
      </c>
      <c r="H306" s="14" t="s">
        <v>31</v>
      </c>
      <c r="I306" s="6">
        <v>0</v>
      </c>
      <c r="J306" s="6">
        <v>57</v>
      </c>
      <c r="K306" s="6"/>
      <c r="L306" s="6">
        <v>3974</v>
      </c>
      <c r="M306" s="6">
        <v>1740</v>
      </c>
      <c r="N306" s="6">
        <v>2234</v>
      </c>
      <c r="O306" s="6"/>
      <c r="P306" s="6">
        <v>1330</v>
      </c>
      <c r="Q306" s="6">
        <v>0</v>
      </c>
      <c r="R306" s="6">
        <v>1395</v>
      </c>
      <c r="S306" s="6">
        <v>0</v>
      </c>
      <c r="T306" s="6">
        <v>0</v>
      </c>
      <c r="U306" s="14" t="s">
        <v>32</v>
      </c>
      <c r="V306" s="14" t="s">
        <v>84</v>
      </c>
      <c r="W306" s="6">
        <v>12</v>
      </c>
      <c r="X306" s="6">
        <v>6.5</v>
      </c>
      <c r="Y306" s="15">
        <v>0.63725490196078438</v>
      </c>
      <c r="Z306" s="16">
        <v>0.54166666666666663</v>
      </c>
      <c r="AA306" s="16"/>
      <c r="AB306" s="16"/>
      <c r="AC306" s="13">
        <v>0</v>
      </c>
      <c r="AD306" s="13">
        <v>0</v>
      </c>
      <c r="AE306" s="13">
        <v>611.38461538461536</v>
      </c>
      <c r="AF306" s="12">
        <f t="shared" si="107"/>
        <v>267.69230769230768</v>
      </c>
      <c r="AG306" s="12">
        <f t="shared" si="108"/>
        <v>343.69230769230768</v>
      </c>
      <c r="AH306" s="12">
        <f t="shared" si="109"/>
        <v>0</v>
      </c>
      <c r="AI306" s="12">
        <f t="shared" si="110"/>
        <v>0.29292929292929293</v>
      </c>
      <c r="AJ306" s="12">
        <f t="shared" si="111"/>
        <v>0.37609427609427609</v>
      </c>
      <c r="AK306" s="12">
        <f t="shared" si="112"/>
        <v>0</v>
      </c>
      <c r="AL306" s="12">
        <f t="shared" si="113"/>
        <v>0.66902356902356908</v>
      </c>
      <c r="AM306" s="13">
        <v>214.61538461538461</v>
      </c>
      <c r="AN306" s="13">
        <v>204.61538461538461</v>
      </c>
      <c r="AO306" s="13">
        <v>0</v>
      </c>
      <c r="AP306" s="13">
        <v>0</v>
      </c>
      <c r="AQ306" s="12">
        <v>6699</v>
      </c>
      <c r="AR306" s="13">
        <v>1030.6153846153845</v>
      </c>
      <c r="AS306" s="17" t="s">
        <v>122</v>
      </c>
    </row>
    <row r="307" spans="1:45" x14ac:dyDescent="0.25">
      <c r="A307" s="22">
        <v>45905</v>
      </c>
      <c r="B307" s="10" t="str">
        <f t="shared" si="105"/>
        <v>2025</v>
      </c>
      <c r="C307" s="10" t="str">
        <f t="shared" si="106"/>
        <v>September</v>
      </c>
      <c r="D307" s="10"/>
      <c r="E307" s="11"/>
      <c r="F307" s="12"/>
      <c r="G307" s="13"/>
      <c r="H307" s="14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14"/>
      <c r="V307" s="14"/>
      <c r="W307" s="6"/>
      <c r="X307" s="6"/>
      <c r="Y307" s="15"/>
      <c r="Z307" s="16">
        <v>0</v>
      </c>
      <c r="AA307" s="16"/>
      <c r="AB307" s="16"/>
      <c r="AC307" s="13"/>
      <c r="AD307" s="13"/>
      <c r="AE307" s="13"/>
      <c r="AF307" s="12"/>
      <c r="AG307" s="12"/>
      <c r="AH307" s="12"/>
      <c r="AI307" s="12"/>
      <c r="AJ307" s="12"/>
      <c r="AK307" s="12"/>
      <c r="AL307" s="12"/>
      <c r="AM307" s="13"/>
      <c r="AN307" s="13"/>
      <c r="AO307" s="13"/>
      <c r="AP307" s="13"/>
      <c r="AQ307" s="12"/>
      <c r="AR307" s="13"/>
      <c r="AS307" s="17"/>
    </row>
    <row r="308" spans="1:45" x14ac:dyDescent="0.25">
      <c r="A308" s="22">
        <v>45906</v>
      </c>
      <c r="B308" s="10" t="str">
        <f t="shared" si="105"/>
        <v>2025</v>
      </c>
      <c r="C308" s="10" t="str">
        <f t="shared" si="106"/>
        <v>September</v>
      </c>
      <c r="D308" s="10"/>
      <c r="E308" s="11">
        <v>536</v>
      </c>
      <c r="F308" s="12">
        <v>7236</v>
      </c>
      <c r="G308" s="13">
        <v>915.94936708860757</v>
      </c>
      <c r="H308" s="14" t="s">
        <v>31</v>
      </c>
      <c r="I308" s="6">
        <v>0</v>
      </c>
      <c r="J308" s="6">
        <v>57</v>
      </c>
      <c r="K308" s="6"/>
      <c r="L308" s="6">
        <v>4917</v>
      </c>
      <c r="M308" s="6">
        <v>2002</v>
      </c>
      <c r="N308" s="6">
        <v>2915</v>
      </c>
      <c r="O308" s="6"/>
      <c r="P308" s="6">
        <v>3027</v>
      </c>
      <c r="Q308" s="6">
        <v>0</v>
      </c>
      <c r="R308" s="6">
        <v>0</v>
      </c>
      <c r="S308" s="6">
        <v>0</v>
      </c>
      <c r="T308" s="6">
        <v>0</v>
      </c>
      <c r="U308" s="14" t="s">
        <v>43</v>
      </c>
      <c r="V308" s="14" t="s">
        <v>84</v>
      </c>
      <c r="W308" s="6">
        <v>12</v>
      </c>
      <c r="X308" s="6">
        <v>7.9</v>
      </c>
      <c r="Y308" s="15">
        <v>0.77450980392156876</v>
      </c>
      <c r="Z308" s="16">
        <v>0.65833333333333333</v>
      </c>
      <c r="AA308" s="16"/>
      <c r="AB308" s="16"/>
      <c r="AC308" s="13">
        <v>0</v>
      </c>
      <c r="AD308" s="13">
        <v>0</v>
      </c>
      <c r="AE308" s="13">
        <v>622.40506329113919</v>
      </c>
      <c r="AF308" s="12">
        <f t="shared" si="107"/>
        <v>253.41772151898732</v>
      </c>
      <c r="AG308" s="12">
        <f t="shared" si="108"/>
        <v>368.98734177215186</v>
      </c>
      <c r="AH308" s="12">
        <f t="shared" si="109"/>
        <v>0</v>
      </c>
      <c r="AI308" s="12">
        <f t="shared" si="110"/>
        <v>0.27667219458264236</v>
      </c>
      <c r="AJ308" s="12">
        <f t="shared" si="111"/>
        <v>0.40284687672747377</v>
      </c>
      <c r="AK308" s="12">
        <f t="shared" si="112"/>
        <v>0</v>
      </c>
      <c r="AL308" s="12">
        <f t="shared" si="113"/>
        <v>0.67951907131011613</v>
      </c>
      <c r="AM308" s="13">
        <v>0</v>
      </c>
      <c r="AN308" s="13">
        <v>383.1645569620253</v>
      </c>
      <c r="AO308" s="13">
        <v>0</v>
      </c>
      <c r="AP308" s="13">
        <v>0</v>
      </c>
      <c r="AQ308" s="12">
        <v>7944</v>
      </c>
      <c r="AR308" s="13">
        <v>1005.5696202531644</v>
      </c>
      <c r="AS308" s="17"/>
    </row>
    <row r="309" spans="1:45" x14ac:dyDescent="0.25">
      <c r="A309" s="22">
        <v>45908</v>
      </c>
      <c r="B309" s="10" t="str">
        <f t="shared" si="105"/>
        <v>2025</v>
      </c>
      <c r="C309" s="10" t="str">
        <f t="shared" si="106"/>
        <v>September</v>
      </c>
      <c r="D309" s="10"/>
      <c r="E309" s="11">
        <v>539</v>
      </c>
      <c r="F309" s="12">
        <v>7276.5</v>
      </c>
      <c r="G309" s="13">
        <v>983.31081081081072</v>
      </c>
      <c r="H309" s="14" t="s">
        <v>31</v>
      </c>
      <c r="I309" s="6">
        <v>0</v>
      </c>
      <c r="J309" s="6">
        <v>57</v>
      </c>
      <c r="K309" s="6"/>
      <c r="L309" s="6">
        <v>5260</v>
      </c>
      <c r="M309" s="6">
        <v>2034</v>
      </c>
      <c r="N309" s="6">
        <v>3226</v>
      </c>
      <c r="O309" s="6"/>
      <c r="P309" s="6">
        <v>2812</v>
      </c>
      <c r="Q309" s="6">
        <v>0</v>
      </c>
      <c r="R309" s="6">
        <v>0</v>
      </c>
      <c r="S309" s="6">
        <v>0</v>
      </c>
      <c r="T309" s="6">
        <v>0</v>
      </c>
      <c r="U309" s="14" t="s">
        <v>43</v>
      </c>
      <c r="V309" s="14" t="s">
        <v>84</v>
      </c>
      <c r="W309" s="6">
        <v>12</v>
      </c>
      <c r="X309" s="6">
        <v>7.4</v>
      </c>
      <c r="Y309" s="15">
        <v>0.72549019607843146</v>
      </c>
      <c r="Z309" s="16">
        <v>0.6166666666666667</v>
      </c>
      <c r="AA309" s="16"/>
      <c r="AB309" s="16"/>
      <c r="AC309" s="13">
        <v>0</v>
      </c>
      <c r="AD309" s="13">
        <v>0</v>
      </c>
      <c r="AE309" s="13">
        <v>710.81081081081072</v>
      </c>
      <c r="AF309" s="12">
        <f t="shared" si="107"/>
        <v>274.86486486486484</v>
      </c>
      <c r="AG309" s="12">
        <f t="shared" si="108"/>
        <v>435.94594594594594</v>
      </c>
      <c r="AH309" s="12">
        <f t="shared" si="109"/>
        <v>0</v>
      </c>
      <c r="AI309" s="12">
        <f t="shared" si="110"/>
        <v>0.27952999381570809</v>
      </c>
      <c r="AJ309" s="12">
        <f t="shared" si="111"/>
        <v>0.44334501477358618</v>
      </c>
      <c r="AK309" s="12">
        <f t="shared" si="112"/>
        <v>0</v>
      </c>
      <c r="AL309" s="12">
        <f t="shared" si="113"/>
        <v>0.72287500858929432</v>
      </c>
      <c r="AM309" s="13">
        <v>0</v>
      </c>
      <c r="AN309" s="13">
        <v>380</v>
      </c>
      <c r="AO309" s="13">
        <v>0</v>
      </c>
      <c r="AP309" s="13">
        <v>0</v>
      </c>
      <c r="AQ309" s="12">
        <v>8072</v>
      </c>
      <c r="AR309" s="13">
        <v>1090.8108108108108</v>
      </c>
      <c r="AS309" s="17" t="s">
        <v>123</v>
      </c>
    </row>
    <row r="310" spans="1:45" x14ac:dyDescent="0.25">
      <c r="A310" s="22">
        <v>45909</v>
      </c>
      <c r="B310" s="10" t="str">
        <f t="shared" si="105"/>
        <v>2025</v>
      </c>
      <c r="C310" s="10" t="str">
        <f t="shared" si="106"/>
        <v>September</v>
      </c>
      <c r="D310" s="10"/>
      <c r="E310" s="11">
        <v>688</v>
      </c>
      <c r="F310" s="12">
        <v>9288</v>
      </c>
      <c r="G310" s="13">
        <v>977.68421052631584</v>
      </c>
      <c r="H310" s="14" t="s">
        <v>31</v>
      </c>
      <c r="I310" s="6">
        <v>0</v>
      </c>
      <c r="J310" s="6">
        <v>57</v>
      </c>
      <c r="K310" s="6"/>
      <c r="L310" s="6">
        <v>6686</v>
      </c>
      <c r="M310" s="6">
        <v>2860</v>
      </c>
      <c r="N310" s="6">
        <v>3826</v>
      </c>
      <c r="O310" s="6"/>
      <c r="P310" s="6">
        <v>3610</v>
      </c>
      <c r="Q310" s="6">
        <v>0</v>
      </c>
      <c r="R310" s="6">
        <v>0</v>
      </c>
      <c r="S310" s="6">
        <v>0</v>
      </c>
      <c r="T310" s="6">
        <v>0</v>
      </c>
      <c r="U310" s="14" t="s">
        <v>43</v>
      </c>
      <c r="V310" s="14" t="s">
        <v>84</v>
      </c>
      <c r="W310" s="6">
        <v>12</v>
      </c>
      <c r="X310" s="6">
        <v>9.5</v>
      </c>
      <c r="Y310" s="15">
        <v>0.93137254901960786</v>
      </c>
      <c r="Z310" s="16">
        <v>0.79166666666666663</v>
      </c>
      <c r="AA310" s="16"/>
      <c r="AB310" s="16"/>
      <c r="AC310" s="13">
        <v>0</v>
      </c>
      <c r="AD310" s="13">
        <v>0</v>
      </c>
      <c r="AE310" s="13">
        <v>703.78947368421052</v>
      </c>
      <c r="AF310" s="12">
        <f t="shared" si="107"/>
        <v>301.05263157894734</v>
      </c>
      <c r="AG310" s="12">
        <f t="shared" si="108"/>
        <v>402.73684210526318</v>
      </c>
      <c r="AH310" s="12">
        <f t="shared" si="109"/>
        <v>0</v>
      </c>
      <c r="AI310" s="12">
        <f t="shared" si="110"/>
        <v>0.30792420327304049</v>
      </c>
      <c r="AJ310" s="12">
        <f t="shared" si="111"/>
        <v>0.41192937123169682</v>
      </c>
      <c r="AK310" s="12">
        <f t="shared" si="112"/>
        <v>0</v>
      </c>
      <c r="AL310" s="12">
        <f t="shared" si="113"/>
        <v>0.7198535745047373</v>
      </c>
      <c r="AM310" s="13">
        <v>0</v>
      </c>
      <c r="AN310" s="13">
        <v>380</v>
      </c>
      <c r="AO310" s="13">
        <v>0</v>
      </c>
      <c r="AP310" s="13">
        <v>0</v>
      </c>
      <c r="AQ310" s="12">
        <v>10296</v>
      </c>
      <c r="AR310" s="18">
        <v>1083.7894736842104</v>
      </c>
      <c r="AS310" s="17"/>
    </row>
    <row r="311" spans="1:45" x14ac:dyDescent="0.25">
      <c r="A311" s="22">
        <v>45910</v>
      </c>
      <c r="B311" s="10" t="str">
        <f t="shared" si="105"/>
        <v>2025</v>
      </c>
      <c r="C311" s="10" t="str">
        <f t="shared" si="106"/>
        <v>September</v>
      </c>
      <c r="D311" s="10"/>
      <c r="E311" s="11">
        <v>583</v>
      </c>
      <c r="F311" s="12">
        <v>7870.5</v>
      </c>
      <c r="G311" s="13">
        <v>948.25301204819266</v>
      </c>
      <c r="H311" s="14" t="s">
        <v>31</v>
      </c>
      <c r="I311" s="6">
        <v>0</v>
      </c>
      <c r="J311" s="6">
        <v>57</v>
      </c>
      <c r="K311" s="6"/>
      <c r="L311" s="6">
        <v>5196</v>
      </c>
      <c r="M311" s="6">
        <v>2292</v>
      </c>
      <c r="N311" s="6">
        <v>2904</v>
      </c>
      <c r="O311" s="6"/>
      <c r="P311" s="6">
        <v>3166</v>
      </c>
      <c r="Q311" s="6">
        <v>0</v>
      </c>
      <c r="R311" s="6">
        <v>0</v>
      </c>
      <c r="S311" s="6">
        <v>0</v>
      </c>
      <c r="T311" s="6">
        <v>0</v>
      </c>
      <c r="U311" s="14" t="s">
        <v>43</v>
      </c>
      <c r="V311" s="14" t="s">
        <v>84</v>
      </c>
      <c r="W311" s="6">
        <v>12</v>
      </c>
      <c r="X311" s="6">
        <v>8.3000000000000007</v>
      </c>
      <c r="Y311" s="15">
        <v>0.81372549019607854</v>
      </c>
      <c r="Z311" s="16">
        <v>0.69166666666666676</v>
      </c>
      <c r="AA311" s="16"/>
      <c r="AB311" s="16"/>
      <c r="AC311" s="13">
        <v>0</v>
      </c>
      <c r="AD311" s="13">
        <v>0</v>
      </c>
      <c r="AE311" s="13">
        <v>626.02409638554207</v>
      </c>
      <c r="AF311" s="12">
        <f t="shared" si="107"/>
        <v>276.14457831325296</v>
      </c>
      <c r="AG311" s="12">
        <f t="shared" si="108"/>
        <v>349.8795180722891</v>
      </c>
      <c r="AH311" s="12">
        <f t="shared" si="109"/>
        <v>0</v>
      </c>
      <c r="AI311" s="12">
        <f t="shared" si="110"/>
        <v>0.29121402706308369</v>
      </c>
      <c r="AJ311" s="12">
        <f t="shared" si="111"/>
        <v>0.36897274633123689</v>
      </c>
      <c r="AK311" s="12">
        <f t="shared" si="112"/>
        <v>0</v>
      </c>
      <c r="AL311" s="12">
        <f t="shared" si="113"/>
        <v>0.66018677339432053</v>
      </c>
      <c r="AM311" s="13">
        <v>0</v>
      </c>
      <c r="AN311" s="13">
        <v>381.4457831325301</v>
      </c>
      <c r="AO311" s="13">
        <v>0</v>
      </c>
      <c r="AP311" s="13">
        <v>0</v>
      </c>
      <c r="AQ311" s="12">
        <v>8362</v>
      </c>
      <c r="AR311" s="13">
        <v>1007.4698795180722</v>
      </c>
      <c r="AS311" s="19" t="s">
        <v>124</v>
      </c>
    </row>
    <row r="312" spans="1:45" x14ac:dyDescent="0.25">
      <c r="A312" s="22">
        <v>45911</v>
      </c>
      <c r="B312" s="10" t="str">
        <f t="shared" si="105"/>
        <v>2025</v>
      </c>
      <c r="C312" s="10" t="str">
        <f t="shared" si="106"/>
        <v>September</v>
      </c>
      <c r="D312" s="10"/>
      <c r="E312" s="11"/>
      <c r="F312" s="12"/>
      <c r="G312" s="13"/>
      <c r="H312" s="14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14"/>
      <c r="V312" s="14"/>
      <c r="W312" s="6"/>
      <c r="X312" s="6"/>
      <c r="Y312" s="15"/>
      <c r="Z312" s="16">
        <v>0</v>
      </c>
      <c r="AA312" s="16"/>
      <c r="AB312" s="16"/>
      <c r="AC312" s="13"/>
      <c r="AD312" s="13"/>
      <c r="AE312" s="13"/>
      <c r="AF312" s="12"/>
      <c r="AG312" s="12"/>
      <c r="AH312" s="12"/>
      <c r="AI312" s="12"/>
      <c r="AJ312" s="12"/>
      <c r="AK312" s="12"/>
      <c r="AL312" s="12"/>
      <c r="AM312" s="13"/>
      <c r="AN312" s="13"/>
      <c r="AO312" s="13"/>
      <c r="AP312" s="13"/>
      <c r="AQ312" s="12"/>
      <c r="AR312" s="13"/>
      <c r="AS312" s="19"/>
    </row>
    <row r="313" spans="1:45" x14ac:dyDescent="0.25">
      <c r="A313" s="22">
        <v>45912</v>
      </c>
      <c r="B313" s="10" t="str">
        <f t="shared" si="105"/>
        <v>2025</v>
      </c>
      <c r="C313" s="10" t="str">
        <f t="shared" si="106"/>
        <v>September</v>
      </c>
      <c r="D313" s="10"/>
      <c r="E313" s="11">
        <v>321</v>
      </c>
      <c r="F313" s="12">
        <v>4333.5</v>
      </c>
      <c r="G313" s="13">
        <v>1274.5588235294117</v>
      </c>
      <c r="H313" s="14" t="s">
        <v>31</v>
      </c>
      <c r="I313" s="6">
        <v>0</v>
      </c>
      <c r="J313" s="6">
        <v>57</v>
      </c>
      <c r="K313" s="6"/>
      <c r="L313" s="6">
        <v>2635</v>
      </c>
      <c r="M313" s="6">
        <v>1466</v>
      </c>
      <c r="N313" s="6">
        <v>1169</v>
      </c>
      <c r="O313" s="6"/>
      <c r="P313" s="6">
        <v>1333</v>
      </c>
      <c r="Q313" s="6">
        <v>0</v>
      </c>
      <c r="R313" s="6">
        <v>0</v>
      </c>
      <c r="S313" s="6">
        <v>0</v>
      </c>
      <c r="T313" s="6">
        <v>0</v>
      </c>
      <c r="U313" s="14" t="s">
        <v>43</v>
      </c>
      <c r="V313" s="14" t="s">
        <v>84</v>
      </c>
      <c r="W313" s="6">
        <v>10</v>
      </c>
      <c r="X313" s="6">
        <v>3.4</v>
      </c>
      <c r="Y313" s="15">
        <v>0.39999999999999997</v>
      </c>
      <c r="Z313" s="16">
        <v>0.33999999999999997</v>
      </c>
      <c r="AA313" s="16"/>
      <c r="AB313" s="16"/>
      <c r="AC313" s="13">
        <v>0</v>
      </c>
      <c r="AD313" s="13">
        <v>0</v>
      </c>
      <c r="AE313" s="13">
        <v>775</v>
      </c>
      <c r="AF313" s="12">
        <f t="shared" si="107"/>
        <v>431.1764705882353</v>
      </c>
      <c r="AG313" s="12">
        <f t="shared" si="108"/>
        <v>343.8235294117647</v>
      </c>
      <c r="AH313" s="12">
        <f t="shared" si="109"/>
        <v>0</v>
      </c>
      <c r="AI313" s="12">
        <f t="shared" si="110"/>
        <v>0.33829468097380871</v>
      </c>
      <c r="AJ313" s="12">
        <f t="shared" si="111"/>
        <v>0.26975885542863737</v>
      </c>
      <c r="AK313" s="12">
        <f t="shared" si="112"/>
        <v>0</v>
      </c>
      <c r="AL313" s="12">
        <f t="shared" si="113"/>
        <v>0.60805353640244608</v>
      </c>
      <c r="AM313" s="13">
        <v>0</v>
      </c>
      <c r="AN313" s="13">
        <v>392.05882352941177</v>
      </c>
      <c r="AO313" s="13">
        <v>0</v>
      </c>
      <c r="AP313" s="13">
        <v>0</v>
      </c>
      <c r="AQ313" s="12">
        <v>3968</v>
      </c>
      <c r="AR313" s="13">
        <v>1167.0588235294117</v>
      </c>
      <c r="AS313" s="17" t="s">
        <v>125</v>
      </c>
    </row>
    <row r="314" spans="1:45" x14ac:dyDescent="0.25">
      <c r="A314" s="22">
        <v>45913</v>
      </c>
      <c r="B314" s="10" t="str">
        <f t="shared" si="105"/>
        <v>2025</v>
      </c>
      <c r="C314" s="10" t="str">
        <f t="shared" si="106"/>
        <v>September</v>
      </c>
      <c r="D314" s="10"/>
      <c r="E314" s="11">
        <v>651</v>
      </c>
      <c r="F314" s="12">
        <v>8788.5</v>
      </c>
      <c r="G314" s="13">
        <v>998.69318181818176</v>
      </c>
      <c r="H314" s="14" t="s">
        <v>31</v>
      </c>
      <c r="I314" s="6">
        <v>0</v>
      </c>
      <c r="J314" s="6">
        <v>57</v>
      </c>
      <c r="K314" s="6"/>
      <c r="L314" s="6">
        <v>6111</v>
      </c>
      <c r="M314" s="6">
        <v>2621</v>
      </c>
      <c r="N314" s="6">
        <v>3490</v>
      </c>
      <c r="O314" s="6"/>
      <c r="P314" s="6">
        <v>3344</v>
      </c>
      <c r="Q314" s="6">
        <v>0</v>
      </c>
      <c r="R314" s="6">
        <v>0</v>
      </c>
      <c r="S314" s="6">
        <v>0</v>
      </c>
      <c r="T314" s="6">
        <v>0</v>
      </c>
      <c r="U314" s="14" t="s">
        <v>43</v>
      </c>
      <c r="V314" s="14" t="s">
        <v>84</v>
      </c>
      <c r="W314" s="6">
        <v>10</v>
      </c>
      <c r="X314" s="6">
        <v>8.8000000000000007</v>
      </c>
      <c r="Y314" s="15">
        <v>1.0352941176470589</v>
      </c>
      <c r="Z314" s="16">
        <v>0.88000000000000012</v>
      </c>
      <c r="AA314" s="16"/>
      <c r="AB314" s="16"/>
      <c r="AC314" s="13">
        <v>0</v>
      </c>
      <c r="AD314" s="13">
        <v>0</v>
      </c>
      <c r="AE314" s="13">
        <v>694.43181818181813</v>
      </c>
      <c r="AF314" s="12">
        <f t="shared" si="107"/>
        <v>297.84090909090907</v>
      </c>
      <c r="AG314" s="12">
        <f t="shared" si="108"/>
        <v>396.59090909090907</v>
      </c>
      <c r="AH314" s="12">
        <f t="shared" si="109"/>
        <v>0</v>
      </c>
      <c r="AI314" s="12">
        <f t="shared" si="110"/>
        <v>0.2982306423166638</v>
      </c>
      <c r="AJ314" s="12">
        <f t="shared" si="111"/>
        <v>0.39710985947545085</v>
      </c>
      <c r="AK314" s="12">
        <f t="shared" si="112"/>
        <v>0</v>
      </c>
      <c r="AL314" s="12">
        <f t="shared" si="113"/>
        <v>0.6953405017921146</v>
      </c>
      <c r="AM314" s="13">
        <v>0</v>
      </c>
      <c r="AN314" s="13">
        <v>379.99999999999994</v>
      </c>
      <c r="AO314" s="13">
        <v>0</v>
      </c>
      <c r="AP314" s="13">
        <v>0</v>
      </c>
      <c r="AQ314" s="12">
        <v>9455</v>
      </c>
      <c r="AR314" s="13">
        <v>1074.431818181818</v>
      </c>
      <c r="AS314" s="17"/>
    </row>
    <row r="315" spans="1:45" x14ac:dyDescent="0.25">
      <c r="A315" s="22">
        <v>45915</v>
      </c>
      <c r="B315" s="10" t="str">
        <f t="shared" si="105"/>
        <v>2025</v>
      </c>
      <c r="C315" s="10" t="str">
        <f t="shared" si="106"/>
        <v>September</v>
      </c>
      <c r="D315" s="10"/>
      <c r="E315" s="11">
        <v>820</v>
      </c>
      <c r="F315" s="12">
        <v>11070</v>
      </c>
      <c r="G315" s="13">
        <v>1034.5794392523364</v>
      </c>
      <c r="H315" s="14" t="s">
        <v>31</v>
      </c>
      <c r="I315" s="6">
        <v>0</v>
      </c>
      <c r="J315" s="6">
        <v>57</v>
      </c>
      <c r="K315" s="6"/>
      <c r="L315" s="6">
        <v>7126</v>
      </c>
      <c r="M315" s="6">
        <v>2990</v>
      </c>
      <c r="N315" s="6">
        <v>4136</v>
      </c>
      <c r="O315" s="6"/>
      <c r="P315" s="6">
        <v>4085</v>
      </c>
      <c r="Q315" s="6">
        <v>0</v>
      </c>
      <c r="R315" s="6">
        <v>0</v>
      </c>
      <c r="S315" s="6">
        <v>0</v>
      </c>
      <c r="T315" s="6">
        <v>0</v>
      </c>
      <c r="U315" s="14" t="s">
        <v>43</v>
      </c>
      <c r="V315" s="14" t="s">
        <v>84</v>
      </c>
      <c r="W315" s="6">
        <v>12</v>
      </c>
      <c r="X315" s="6">
        <v>10.7</v>
      </c>
      <c r="Y315" s="15">
        <v>1.0490196078431373</v>
      </c>
      <c r="Z315" s="16">
        <v>0.89166666666666661</v>
      </c>
      <c r="AA315" s="16"/>
      <c r="AB315" s="16"/>
      <c r="AC315" s="13">
        <v>0</v>
      </c>
      <c r="AD315" s="13">
        <v>0</v>
      </c>
      <c r="AE315" s="13">
        <v>665.98130841121497</v>
      </c>
      <c r="AF315" s="12">
        <f t="shared" si="107"/>
        <v>279.43925233644859</v>
      </c>
      <c r="AG315" s="12">
        <f t="shared" si="108"/>
        <v>386.54205607476638</v>
      </c>
      <c r="AH315" s="12">
        <f t="shared" si="109"/>
        <v>0</v>
      </c>
      <c r="AI315" s="12">
        <f t="shared" si="110"/>
        <v>0.27009936766034326</v>
      </c>
      <c r="AJ315" s="12">
        <f t="shared" si="111"/>
        <v>0.37362240289069559</v>
      </c>
      <c r="AK315" s="12">
        <f t="shared" si="112"/>
        <v>0</v>
      </c>
      <c r="AL315" s="12">
        <f t="shared" si="113"/>
        <v>0.64372177055103885</v>
      </c>
      <c r="AM315" s="13">
        <v>0</v>
      </c>
      <c r="AN315" s="13">
        <v>381.77570093457945</v>
      </c>
      <c r="AO315" s="13">
        <v>0</v>
      </c>
      <c r="AP315" s="13">
        <v>0</v>
      </c>
      <c r="AQ315" s="12">
        <v>11211</v>
      </c>
      <c r="AR315" s="13">
        <v>1047.7570093457944</v>
      </c>
      <c r="AS315" s="17"/>
    </row>
    <row r="316" spans="1:45" x14ac:dyDescent="0.25">
      <c r="A316" s="22">
        <v>45916</v>
      </c>
      <c r="B316" s="10" t="str">
        <f t="shared" si="105"/>
        <v>2025</v>
      </c>
      <c r="C316" s="10" t="str">
        <f t="shared" si="106"/>
        <v>September</v>
      </c>
      <c r="D316" s="10"/>
      <c r="E316" s="11">
        <v>336</v>
      </c>
      <c r="F316" s="12">
        <v>4536</v>
      </c>
      <c r="G316" s="13">
        <v>1134</v>
      </c>
      <c r="H316" s="14" t="s">
        <v>126</v>
      </c>
      <c r="I316" s="6">
        <v>0</v>
      </c>
      <c r="J316" s="6">
        <v>57</v>
      </c>
      <c r="K316" s="6"/>
      <c r="L316" s="6">
        <v>2924</v>
      </c>
      <c r="M316" s="6">
        <v>1207</v>
      </c>
      <c r="N316" s="6">
        <v>1717</v>
      </c>
      <c r="O316" s="6"/>
      <c r="P316" s="6">
        <v>1900</v>
      </c>
      <c r="Q316" s="6">
        <v>0</v>
      </c>
      <c r="R316" s="6">
        <v>0</v>
      </c>
      <c r="S316" s="6">
        <v>0</v>
      </c>
      <c r="T316" s="6">
        <v>0</v>
      </c>
      <c r="U316" s="14" t="s">
        <v>43</v>
      </c>
      <c r="V316" s="14" t="s">
        <v>84</v>
      </c>
      <c r="W316" s="6">
        <v>8</v>
      </c>
      <c r="X316" s="6">
        <v>4</v>
      </c>
      <c r="Y316" s="15">
        <v>0.58823529411764708</v>
      </c>
      <c r="Z316" s="16">
        <v>0.5</v>
      </c>
      <c r="AA316" s="16"/>
      <c r="AB316" s="16"/>
      <c r="AC316" s="13">
        <v>0</v>
      </c>
      <c r="AD316" s="13">
        <v>0</v>
      </c>
      <c r="AE316" s="13">
        <v>731</v>
      </c>
      <c r="AF316" s="12">
        <f t="shared" si="107"/>
        <v>301.75</v>
      </c>
      <c r="AG316" s="12">
        <f t="shared" si="108"/>
        <v>429.25</v>
      </c>
      <c r="AH316" s="12">
        <f t="shared" si="109"/>
        <v>0</v>
      </c>
      <c r="AI316" s="12">
        <f t="shared" si="110"/>
        <v>0.26609347442680775</v>
      </c>
      <c r="AJ316" s="12">
        <f t="shared" si="111"/>
        <v>0.37852733686067019</v>
      </c>
      <c r="AK316" s="12">
        <f t="shared" si="112"/>
        <v>0</v>
      </c>
      <c r="AL316" s="12">
        <f t="shared" si="113"/>
        <v>0.64462081128747795</v>
      </c>
      <c r="AM316" s="13">
        <v>0</v>
      </c>
      <c r="AN316" s="13">
        <v>475</v>
      </c>
      <c r="AO316" s="13">
        <v>0</v>
      </c>
      <c r="AP316" s="13">
        <v>0</v>
      </c>
      <c r="AQ316" s="12">
        <v>4824</v>
      </c>
      <c r="AR316" s="13">
        <v>1206</v>
      </c>
      <c r="AS316" s="17" t="s">
        <v>127</v>
      </c>
    </row>
    <row r="317" spans="1:45" x14ac:dyDescent="0.25">
      <c r="A317" s="22">
        <v>45917</v>
      </c>
      <c r="B317" s="10" t="str">
        <f t="shared" si="105"/>
        <v>2025</v>
      </c>
      <c r="C317" s="10" t="str">
        <f t="shared" si="106"/>
        <v>September</v>
      </c>
      <c r="D317" s="10"/>
      <c r="E317" s="11">
        <v>328</v>
      </c>
      <c r="F317" s="12">
        <v>4428</v>
      </c>
      <c r="G317" s="13">
        <v>1029.7674418604652</v>
      </c>
      <c r="H317" s="14" t="s">
        <v>31</v>
      </c>
      <c r="I317" s="6">
        <v>0</v>
      </c>
      <c r="J317" s="6">
        <v>57</v>
      </c>
      <c r="K317" s="6"/>
      <c r="L317" s="6">
        <v>2257</v>
      </c>
      <c r="M317" s="6">
        <v>1099</v>
      </c>
      <c r="N317" s="6">
        <v>1158</v>
      </c>
      <c r="O317" s="6"/>
      <c r="P317" s="6">
        <v>1634</v>
      </c>
      <c r="Q317" s="6">
        <v>0</v>
      </c>
      <c r="R317" s="6">
        <v>0</v>
      </c>
      <c r="S317" s="6">
        <v>0</v>
      </c>
      <c r="T317" s="6">
        <v>0</v>
      </c>
      <c r="U317" s="14" t="s">
        <v>43</v>
      </c>
      <c r="V317" s="14" t="s">
        <v>84</v>
      </c>
      <c r="W317" s="6">
        <v>5</v>
      </c>
      <c r="X317" s="6">
        <v>4.3</v>
      </c>
      <c r="Y317" s="15">
        <v>1.0117647058823529</v>
      </c>
      <c r="Z317" s="16">
        <v>0.86</v>
      </c>
      <c r="AA317" s="16"/>
      <c r="AB317" s="16"/>
      <c r="AC317" s="13">
        <v>0</v>
      </c>
      <c r="AD317" s="13">
        <v>0</v>
      </c>
      <c r="AE317" s="13">
        <v>524.88372093023258</v>
      </c>
      <c r="AF317" s="12">
        <f t="shared" si="107"/>
        <v>255.58139534883722</v>
      </c>
      <c r="AG317" s="12">
        <f t="shared" si="108"/>
        <v>269.30232558139534</v>
      </c>
      <c r="AH317" s="12">
        <f t="shared" si="109"/>
        <v>0</v>
      </c>
      <c r="AI317" s="12">
        <f t="shared" si="110"/>
        <v>0.248193315266486</v>
      </c>
      <c r="AJ317" s="12">
        <f t="shared" si="111"/>
        <v>0.26151761517615174</v>
      </c>
      <c r="AK317" s="12">
        <f t="shared" si="112"/>
        <v>0</v>
      </c>
      <c r="AL317" s="12">
        <f t="shared" si="113"/>
        <v>0.50971093044263771</v>
      </c>
      <c r="AM317" s="13">
        <v>0</v>
      </c>
      <c r="AN317" s="13">
        <v>380</v>
      </c>
      <c r="AO317" s="13">
        <v>0</v>
      </c>
      <c r="AP317" s="13">
        <v>0</v>
      </c>
      <c r="AQ317" s="12">
        <v>3891</v>
      </c>
      <c r="AR317" s="13">
        <v>904.88372093023258</v>
      </c>
      <c r="AS317" s="17" t="s">
        <v>128</v>
      </c>
    </row>
    <row r="318" spans="1:45" x14ac:dyDescent="0.25">
      <c r="A318" s="22">
        <v>45918</v>
      </c>
      <c r="B318" s="10" t="str">
        <f t="shared" si="105"/>
        <v>2025</v>
      </c>
      <c r="C318" s="10" t="str">
        <f t="shared" si="106"/>
        <v>September</v>
      </c>
      <c r="D318" s="10"/>
      <c r="E318" s="11"/>
      <c r="F318" s="12"/>
      <c r="G318" s="13"/>
      <c r="H318" s="14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14"/>
      <c r="V318" s="14"/>
      <c r="W318" s="6"/>
      <c r="X318" s="6"/>
      <c r="Y318" s="15"/>
      <c r="Z318" s="16">
        <v>0</v>
      </c>
      <c r="AA318" s="16"/>
      <c r="AB318" s="16"/>
      <c r="AC318" s="13"/>
      <c r="AD318" s="13"/>
      <c r="AE318" s="13"/>
      <c r="AF318" s="12"/>
      <c r="AG318" s="12"/>
      <c r="AH318" s="12"/>
      <c r="AI318" s="12"/>
      <c r="AJ318" s="12"/>
      <c r="AK318" s="12"/>
      <c r="AL318" s="12"/>
      <c r="AM318" s="13"/>
      <c r="AN318" s="13"/>
      <c r="AO318" s="13"/>
      <c r="AP318" s="13"/>
      <c r="AQ318" s="12"/>
      <c r="AR318" s="13"/>
      <c r="AS318" s="17"/>
    </row>
    <row r="319" spans="1:45" x14ac:dyDescent="0.25">
      <c r="A319" s="22">
        <v>45919</v>
      </c>
      <c r="B319" s="10" t="str">
        <f t="shared" si="105"/>
        <v>2025</v>
      </c>
      <c r="C319" s="10" t="str">
        <f t="shared" si="106"/>
        <v>September</v>
      </c>
      <c r="D319" s="10"/>
      <c r="E319" s="11"/>
      <c r="F319" s="12"/>
      <c r="G319" s="13"/>
      <c r="H319" s="14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14"/>
      <c r="V319" s="14"/>
      <c r="W319" s="6"/>
      <c r="X319" s="6"/>
      <c r="Y319" s="15"/>
      <c r="Z319" s="16">
        <v>0</v>
      </c>
      <c r="AA319" s="16"/>
      <c r="AB319" s="16"/>
      <c r="AC319" s="13"/>
      <c r="AD319" s="13"/>
      <c r="AE319" s="13"/>
      <c r="AF319" s="12"/>
      <c r="AG319" s="12"/>
      <c r="AH319" s="12"/>
      <c r="AI319" s="12"/>
      <c r="AJ319" s="12"/>
      <c r="AK319" s="12"/>
      <c r="AL319" s="12"/>
      <c r="AM319" s="13"/>
      <c r="AN319" s="13"/>
      <c r="AO319" s="13"/>
      <c r="AP319" s="13"/>
      <c r="AQ319" s="12"/>
      <c r="AR319" s="13"/>
      <c r="AS319" s="17"/>
    </row>
    <row r="320" spans="1:45" x14ac:dyDescent="0.25">
      <c r="A320" s="22">
        <v>45922</v>
      </c>
      <c r="B320" s="10" t="str">
        <f t="shared" si="105"/>
        <v>2025</v>
      </c>
      <c r="C320" s="10" t="str">
        <f t="shared" si="106"/>
        <v>September</v>
      </c>
      <c r="D320" s="10"/>
      <c r="E320" s="11">
        <v>721</v>
      </c>
      <c r="F320" s="12">
        <v>9733.5</v>
      </c>
      <c r="G320" s="13">
        <v>983.18181818181813</v>
      </c>
      <c r="H320" s="14" t="s">
        <v>31</v>
      </c>
      <c r="I320" s="6">
        <v>0</v>
      </c>
      <c r="J320" s="6">
        <v>57</v>
      </c>
      <c r="K320" s="6"/>
      <c r="L320" s="6">
        <v>4708</v>
      </c>
      <c r="M320" s="6">
        <v>2360</v>
      </c>
      <c r="N320" s="6">
        <v>2348</v>
      </c>
      <c r="O320" s="6"/>
      <c r="P320" s="6">
        <v>1980</v>
      </c>
      <c r="Q320" s="6">
        <v>0</v>
      </c>
      <c r="R320" s="6">
        <v>2970</v>
      </c>
      <c r="S320" s="6">
        <v>0</v>
      </c>
      <c r="T320" s="6">
        <v>0</v>
      </c>
      <c r="U320" s="14" t="s">
        <v>43</v>
      </c>
      <c r="V320" s="14" t="s">
        <v>84</v>
      </c>
      <c r="W320" s="6">
        <v>12</v>
      </c>
      <c r="X320" s="6">
        <v>9.9</v>
      </c>
      <c r="Y320" s="15">
        <v>0.97058823529411775</v>
      </c>
      <c r="Z320" s="16">
        <v>0.82500000000000007</v>
      </c>
      <c r="AA320" s="16"/>
      <c r="AB320" s="16"/>
      <c r="AC320" s="13">
        <v>0</v>
      </c>
      <c r="AD320" s="13">
        <v>0</v>
      </c>
      <c r="AE320" s="13">
        <v>475.55555555555554</v>
      </c>
      <c r="AF320" s="12">
        <f t="shared" si="107"/>
        <v>238.38383838383837</v>
      </c>
      <c r="AG320" s="12">
        <f t="shared" si="108"/>
        <v>237.17171717171718</v>
      </c>
      <c r="AH320" s="12">
        <f t="shared" si="109"/>
        <v>0</v>
      </c>
      <c r="AI320" s="12">
        <f t="shared" si="110"/>
        <v>0.24246160168490266</v>
      </c>
      <c r="AJ320" s="12">
        <f t="shared" si="111"/>
        <v>0.24122874608311501</v>
      </c>
      <c r="AK320" s="12">
        <f t="shared" si="112"/>
        <v>0</v>
      </c>
      <c r="AL320" s="12">
        <f t="shared" si="113"/>
        <v>0.48369034776801767</v>
      </c>
      <c r="AM320" s="13">
        <v>300</v>
      </c>
      <c r="AN320" s="13">
        <v>200</v>
      </c>
      <c r="AO320" s="13">
        <v>0</v>
      </c>
      <c r="AP320" s="13">
        <v>0</v>
      </c>
      <c r="AQ320" s="12">
        <v>9658</v>
      </c>
      <c r="AR320" s="13">
        <v>975.55555555555554</v>
      </c>
      <c r="AS320" s="17" t="s">
        <v>129</v>
      </c>
    </row>
    <row r="321" spans="1:45" x14ac:dyDescent="0.25">
      <c r="A321" s="22">
        <v>45923</v>
      </c>
      <c r="B321" s="10" t="str">
        <f t="shared" si="105"/>
        <v>2025</v>
      </c>
      <c r="C321" s="10" t="str">
        <f t="shared" si="106"/>
        <v>September</v>
      </c>
      <c r="D321" s="10"/>
      <c r="E321" s="11">
        <v>790</v>
      </c>
      <c r="F321" s="12">
        <v>10665</v>
      </c>
      <c r="G321" s="13">
        <v>1045.5882352941178</v>
      </c>
      <c r="H321" s="14" t="s">
        <v>31</v>
      </c>
      <c r="I321" s="6">
        <v>0</v>
      </c>
      <c r="J321" s="6">
        <v>57</v>
      </c>
      <c r="K321" s="6"/>
      <c r="L321" s="6">
        <v>4987</v>
      </c>
      <c r="M321" s="6">
        <v>2511</v>
      </c>
      <c r="N321" s="6">
        <v>2476</v>
      </c>
      <c r="O321" s="6"/>
      <c r="P321" s="6">
        <v>2040</v>
      </c>
      <c r="Q321" s="6">
        <v>0</v>
      </c>
      <c r="R321" s="6">
        <v>3060</v>
      </c>
      <c r="S321" s="6">
        <v>0</v>
      </c>
      <c r="T321" s="6">
        <v>0</v>
      </c>
      <c r="U321" s="14" t="s">
        <v>43</v>
      </c>
      <c r="V321" s="14" t="s">
        <v>84</v>
      </c>
      <c r="W321" s="6">
        <v>12</v>
      </c>
      <c r="X321" s="6">
        <v>10.199999999999999</v>
      </c>
      <c r="Y321" s="15">
        <v>1</v>
      </c>
      <c r="Z321" s="16">
        <v>0.85</v>
      </c>
      <c r="AA321" s="16"/>
      <c r="AB321" s="16"/>
      <c r="AC321" s="13">
        <v>0</v>
      </c>
      <c r="AD321" s="13">
        <v>0</v>
      </c>
      <c r="AE321" s="13">
        <v>488.92156862745099</v>
      </c>
      <c r="AF321" s="12">
        <f t="shared" si="107"/>
        <v>246.1764705882353</v>
      </c>
      <c r="AG321" s="12">
        <f t="shared" si="108"/>
        <v>242.74509803921569</v>
      </c>
      <c r="AH321" s="12">
        <f t="shared" si="109"/>
        <v>0</v>
      </c>
      <c r="AI321" s="12">
        <f t="shared" si="110"/>
        <v>0.23544303797468355</v>
      </c>
      <c r="AJ321" s="12">
        <f t="shared" si="111"/>
        <v>0.23216127519924989</v>
      </c>
      <c r="AK321" s="12">
        <f t="shared" si="112"/>
        <v>0</v>
      </c>
      <c r="AL321" s="12">
        <f t="shared" si="113"/>
        <v>0.46760431317393347</v>
      </c>
      <c r="AM321" s="13">
        <v>300</v>
      </c>
      <c r="AN321" s="13">
        <v>200</v>
      </c>
      <c r="AO321" s="13">
        <v>0</v>
      </c>
      <c r="AP321" s="13">
        <v>0</v>
      </c>
      <c r="AQ321" s="12">
        <v>10087</v>
      </c>
      <c r="AR321" s="13">
        <v>988.92156862745105</v>
      </c>
      <c r="AS321" s="17" t="s">
        <v>130</v>
      </c>
    </row>
    <row r="322" spans="1:45" x14ac:dyDescent="0.25">
      <c r="A322" s="22">
        <v>45924</v>
      </c>
      <c r="B322" s="10" t="str">
        <f t="shared" si="105"/>
        <v>2025</v>
      </c>
      <c r="C322" s="10" t="str">
        <f t="shared" si="106"/>
        <v>September</v>
      </c>
      <c r="D322" s="10"/>
      <c r="E322" s="11"/>
      <c r="F322" s="12"/>
      <c r="G322" s="13"/>
      <c r="H322" s="14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14"/>
      <c r="V322" s="14"/>
      <c r="W322" s="6"/>
      <c r="X322" s="6"/>
      <c r="Y322" s="15"/>
      <c r="Z322" s="16">
        <v>0</v>
      </c>
      <c r="AA322" s="16"/>
      <c r="AB322" s="16"/>
      <c r="AC322" s="13"/>
      <c r="AD322" s="13"/>
      <c r="AE322" s="13"/>
      <c r="AF322" s="12"/>
      <c r="AG322" s="12"/>
      <c r="AH322" s="12"/>
      <c r="AI322" s="12"/>
      <c r="AJ322" s="12"/>
      <c r="AK322" s="12"/>
      <c r="AL322" s="12"/>
      <c r="AM322" s="13"/>
      <c r="AN322" s="13"/>
      <c r="AO322" s="13"/>
      <c r="AP322" s="13"/>
      <c r="AQ322" s="12"/>
      <c r="AR322" s="13"/>
      <c r="AS322" s="17"/>
    </row>
    <row r="323" spans="1:45" x14ac:dyDescent="0.25">
      <c r="A323" s="22">
        <v>45925</v>
      </c>
      <c r="B323" s="10" t="str">
        <f t="shared" si="105"/>
        <v>2025</v>
      </c>
      <c r="C323" s="10" t="str">
        <f t="shared" si="106"/>
        <v>September</v>
      </c>
      <c r="D323" s="10"/>
      <c r="E323" s="11">
        <v>674</v>
      </c>
      <c r="F323" s="12">
        <v>9099</v>
      </c>
      <c r="G323" s="13">
        <v>938.04123711340208</v>
      </c>
      <c r="H323" s="14" t="s">
        <v>31</v>
      </c>
      <c r="I323" s="6">
        <v>0</v>
      </c>
      <c r="J323" s="6">
        <v>57</v>
      </c>
      <c r="K323" s="6"/>
      <c r="L323" s="6">
        <v>4322</v>
      </c>
      <c r="M323" s="6">
        <v>2175</v>
      </c>
      <c r="N323" s="6">
        <v>2147</v>
      </c>
      <c r="O323" s="6"/>
      <c r="P323" s="6">
        <v>1940</v>
      </c>
      <c r="Q323" s="6">
        <v>0</v>
      </c>
      <c r="R323" s="6">
        <v>2910</v>
      </c>
      <c r="S323" s="6">
        <v>0</v>
      </c>
      <c r="T323" s="6">
        <v>0</v>
      </c>
      <c r="U323" s="14" t="s">
        <v>43</v>
      </c>
      <c r="V323" s="14" t="s">
        <v>84</v>
      </c>
      <c r="W323" s="6">
        <v>12</v>
      </c>
      <c r="X323" s="6">
        <v>9.6999999999999993</v>
      </c>
      <c r="Y323" s="15">
        <v>0.9509803921568627</v>
      </c>
      <c r="Z323" s="16">
        <v>0.80833333333333324</v>
      </c>
      <c r="AA323" s="16"/>
      <c r="AB323" s="16"/>
      <c r="AC323" s="13">
        <v>0</v>
      </c>
      <c r="AD323" s="13">
        <v>0</v>
      </c>
      <c r="AE323" s="13">
        <v>445.56701030927837</v>
      </c>
      <c r="AF323" s="12">
        <f t="shared" si="107"/>
        <v>224.22680412371136</v>
      </c>
      <c r="AG323" s="12">
        <f t="shared" si="108"/>
        <v>221.34020618556701</v>
      </c>
      <c r="AH323" s="12">
        <f t="shared" si="109"/>
        <v>0</v>
      </c>
      <c r="AI323" s="12">
        <f t="shared" si="110"/>
        <v>0.23903725684141114</v>
      </c>
      <c r="AJ323" s="12">
        <f t="shared" si="111"/>
        <v>0.23595999560391251</v>
      </c>
      <c r="AK323" s="12">
        <f t="shared" si="112"/>
        <v>0</v>
      </c>
      <c r="AL323" s="12">
        <f t="shared" si="113"/>
        <v>0.47499725244532365</v>
      </c>
      <c r="AM323" s="13">
        <v>300</v>
      </c>
      <c r="AN323" s="13">
        <v>200.00000000000003</v>
      </c>
      <c r="AO323" s="13">
        <v>0</v>
      </c>
      <c r="AP323" s="13">
        <v>0</v>
      </c>
      <c r="AQ323" s="12">
        <v>9172</v>
      </c>
      <c r="AR323" s="13">
        <v>945.56701030927843</v>
      </c>
      <c r="AS323" s="17"/>
    </row>
    <row r="324" spans="1:45" x14ac:dyDescent="0.25">
      <c r="A324" s="22">
        <v>45926</v>
      </c>
      <c r="B324" s="10" t="str">
        <f t="shared" si="105"/>
        <v>2025</v>
      </c>
      <c r="C324" s="10" t="str">
        <f t="shared" si="106"/>
        <v>September</v>
      </c>
      <c r="D324" s="10"/>
      <c r="E324" s="11"/>
      <c r="F324" s="12"/>
      <c r="G324" s="13"/>
      <c r="H324" s="14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14"/>
      <c r="V324" s="14"/>
      <c r="W324" s="6"/>
      <c r="X324" s="6"/>
      <c r="Y324" s="15"/>
      <c r="Z324" s="16">
        <v>0</v>
      </c>
      <c r="AA324" s="16"/>
      <c r="AB324" s="16"/>
      <c r="AC324" s="13"/>
      <c r="AD324" s="13"/>
      <c r="AE324" s="13"/>
      <c r="AF324" s="12"/>
      <c r="AG324" s="12"/>
      <c r="AH324" s="12"/>
      <c r="AI324" s="12"/>
      <c r="AJ324" s="12"/>
      <c r="AK324" s="12"/>
      <c r="AL324" s="12"/>
      <c r="AM324" s="13"/>
      <c r="AN324" s="13"/>
      <c r="AO324" s="13"/>
      <c r="AP324" s="13"/>
      <c r="AQ324" s="12"/>
      <c r="AR324" s="13"/>
      <c r="AS324" s="17"/>
    </row>
    <row r="325" spans="1:45" x14ac:dyDescent="0.25">
      <c r="A325" s="22">
        <v>45929</v>
      </c>
      <c r="B325" s="10" t="str">
        <f t="shared" si="105"/>
        <v>2025</v>
      </c>
      <c r="C325" s="10" t="str">
        <f t="shared" si="106"/>
        <v>September</v>
      </c>
      <c r="D325" s="10"/>
      <c r="E325" s="11">
        <v>300</v>
      </c>
      <c r="F325" s="12">
        <v>4050</v>
      </c>
      <c r="G325" s="13">
        <v>1265.625</v>
      </c>
      <c r="H325" s="14" t="s">
        <v>31</v>
      </c>
      <c r="I325" s="6">
        <v>0</v>
      </c>
      <c r="J325" s="6">
        <v>57</v>
      </c>
      <c r="K325" s="6"/>
      <c r="L325" s="6">
        <v>2187</v>
      </c>
      <c r="M325" s="6">
        <v>990</v>
      </c>
      <c r="N325" s="6">
        <v>1197</v>
      </c>
      <c r="O325" s="6"/>
      <c r="P325" s="6">
        <v>1216</v>
      </c>
      <c r="Q325" s="6">
        <v>0</v>
      </c>
      <c r="R325" s="6">
        <v>0</v>
      </c>
      <c r="S325" s="6">
        <v>0</v>
      </c>
      <c r="T325" s="6">
        <v>0</v>
      </c>
      <c r="U325" s="14" t="s">
        <v>43</v>
      </c>
      <c r="V325" s="14" t="s">
        <v>84</v>
      </c>
      <c r="W325" s="6">
        <v>6</v>
      </c>
      <c r="X325" s="6">
        <v>3.2</v>
      </c>
      <c r="Y325" s="15">
        <v>0.62745098039215697</v>
      </c>
      <c r="Z325" s="16">
        <v>0.53333333333333333</v>
      </c>
      <c r="AA325" s="16"/>
      <c r="AB325" s="16"/>
      <c r="AC325" s="13">
        <v>0</v>
      </c>
      <c r="AD325" s="13">
        <v>0</v>
      </c>
      <c r="AE325" s="13">
        <v>683.4375</v>
      </c>
      <c r="AF325" s="12">
        <f t="shared" si="107"/>
        <v>309.375</v>
      </c>
      <c r="AG325" s="12">
        <f t="shared" si="108"/>
        <v>374.0625</v>
      </c>
      <c r="AH325" s="12">
        <f t="shared" si="109"/>
        <v>0</v>
      </c>
      <c r="AI325" s="12">
        <f t="shared" si="110"/>
        <v>0.24444444444444444</v>
      </c>
      <c r="AJ325" s="12">
        <f t="shared" si="111"/>
        <v>0.29555555555555557</v>
      </c>
      <c r="AK325" s="12">
        <f t="shared" si="112"/>
        <v>0</v>
      </c>
      <c r="AL325" s="12">
        <f t="shared" si="113"/>
        <v>0.54</v>
      </c>
      <c r="AM325" s="13">
        <v>0</v>
      </c>
      <c r="AN325" s="13">
        <v>380</v>
      </c>
      <c r="AO325" s="13">
        <v>0</v>
      </c>
      <c r="AP325" s="13">
        <v>0</v>
      </c>
      <c r="AQ325" s="12">
        <v>3403</v>
      </c>
      <c r="AR325" s="13">
        <v>1063.4375</v>
      </c>
      <c r="AS325" s="17" t="s">
        <v>131</v>
      </c>
    </row>
    <row r="326" spans="1:45" x14ac:dyDescent="0.25">
      <c r="A326" s="22">
        <v>45930</v>
      </c>
      <c r="B326" s="10" t="str">
        <f t="shared" si="105"/>
        <v>2025</v>
      </c>
      <c r="C326" s="10" t="str">
        <f t="shared" si="106"/>
        <v>September</v>
      </c>
      <c r="D326" s="10"/>
      <c r="E326" s="11">
        <v>742</v>
      </c>
      <c r="F326" s="12">
        <v>10017</v>
      </c>
      <c r="G326" s="13">
        <v>1077.0967741935483</v>
      </c>
      <c r="H326" s="14" t="s">
        <v>31</v>
      </c>
      <c r="I326" s="6">
        <v>0</v>
      </c>
      <c r="J326" s="6">
        <v>57</v>
      </c>
      <c r="K326" s="6"/>
      <c r="L326" s="6">
        <v>7044</v>
      </c>
      <c r="M326" s="6">
        <v>3154</v>
      </c>
      <c r="N326" s="6">
        <v>3890</v>
      </c>
      <c r="O326" s="6"/>
      <c r="P326" s="6">
        <v>3546</v>
      </c>
      <c r="Q326" s="6">
        <v>0</v>
      </c>
      <c r="R326" s="6">
        <v>0</v>
      </c>
      <c r="S326" s="6">
        <v>0</v>
      </c>
      <c r="T326" s="6">
        <v>0</v>
      </c>
      <c r="U326" s="14" t="s">
        <v>132</v>
      </c>
      <c r="V326" s="14" t="s">
        <v>133</v>
      </c>
      <c r="W326" s="6">
        <v>12</v>
      </c>
      <c r="X326" s="6">
        <v>9.3000000000000007</v>
      </c>
      <c r="Y326" s="15">
        <v>0.91176470588235303</v>
      </c>
      <c r="Z326" s="16">
        <v>0.77500000000000002</v>
      </c>
      <c r="AA326" s="16"/>
      <c r="AB326" s="16"/>
      <c r="AC326" s="13">
        <v>0</v>
      </c>
      <c r="AD326" s="13">
        <v>0</v>
      </c>
      <c r="AE326" s="13">
        <v>757.41935483870964</v>
      </c>
      <c r="AF326" s="12">
        <f t="shared" si="107"/>
        <v>339.13978494623655</v>
      </c>
      <c r="AG326" s="12">
        <f t="shared" si="108"/>
        <v>418.27956989247309</v>
      </c>
      <c r="AH326" s="12">
        <f t="shared" si="109"/>
        <v>0</v>
      </c>
      <c r="AI326" s="12">
        <f t="shared" si="110"/>
        <v>0.31486472995906956</v>
      </c>
      <c r="AJ326" s="12">
        <f t="shared" si="111"/>
        <v>0.38833982230208647</v>
      </c>
      <c r="AK326" s="12">
        <f t="shared" si="112"/>
        <v>0</v>
      </c>
      <c r="AL326" s="12">
        <f t="shared" si="113"/>
        <v>0.70320455226115608</v>
      </c>
      <c r="AM326" s="13">
        <v>0</v>
      </c>
      <c r="AN326" s="13">
        <v>381.29032258064512</v>
      </c>
      <c r="AO326" s="13">
        <v>0</v>
      </c>
      <c r="AP326" s="13">
        <v>0</v>
      </c>
      <c r="AQ326" s="12">
        <v>10590</v>
      </c>
      <c r="AR326" s="13">
        <v>1138.7096774193546</v>
      </c>
      <c r="AS326" s="17" t="s">
        <v>134</v>
      </c>
    </row>
    <row r="327" spans="1:45" x14ac:dyDescent="0.25">
      <c r="A327" s="22">
        <v>45931</v>
      </c>
      <c r="B327" s="10" t="str">
        <f t="shared" si="105"/>
        <v>2025</v>
      </c>
      <c r="C327" s="10" t="str">
        <f t="shared" si="106"/>
        <v>October</v>
      </c>
      <c r="D327" s="10"/>
      <c r="E327" s="11">
        <v>560</v>
      </c>
      <c r="F327" s="12">
        <v>7560</v>
      </c>
      <c r="G327" s="13">
        <v>1021.6216216216216</v>
      </c>
      <c r="H327" s="14" t="s">
        <v>31</v>
      </c>
      <c r="I327" s="6">
        <v>0</v>
      </c>
      <c r="J327" s="6">
        <v>57</v>
      </c>
      <c r="K327" s="6"/>
      <c r="L327" s="6">
        <v>5278</v>
      </c>
      <c r="M327" s="6">
        <v>2447</v>
      </c>
      <c r="N327" s="6">
        <v>2831</v>
      </c>
      <c r="O327" s="6"/>
      <c r="P327" s="6">
        <v>2812</v>
      </c>
      <c r="Q327" s="6">
        <v>0</v>
      </c>
      <c r="R327" s="6">
        <v>0</v>
      </c>
      <c r="S327" s="6">
        <v>0</v>
      </c>
      <c r="T327" s="6">
        <v>0</v>
      </c>
      <c r="U327" s="14" t="s">
        <v>132</v>
      </c>
      <c r="V327" s="14" t="s">
        <v>133</v>
      </c>
      <c r="W327" s="6">
        <v>10</v>
      </c>
      <c r="X327" s="6">
        <v>7.4</v>
      </c>
      <c r="Y327" s="15">
        <v>0.87058823529411766</v>
      </c>
      <c r="Z327" s="16">
        <v>0.74</v>
      </c>
      <c r="AA327" s="16"/>
      <c r="AB327" s="16"/>
      <c r="AC327" s="13">
        <v>0</v>
      </c>
      <c r="AD327" s="13">
        <v>0</v>
      </c>
      <c r="AE327" s="13">
        <v>713.24324324324323</v>
      </c>
      <c r="AF327" s="12">
        <f t="shared" si="107"/>
        <v>330.67567567567568</v>
      </c>
      <c r="AG327" s="12">
        <f t="shared" si="108"/>
        <v>382.56756756756755</v>
      </c>
      <c r="AH327" s="12">
        <f t="shared" si="109"/>
        <v>0</v>
      </c>
      <c r="AI327" s="12">
        <f t="shared" si="110"/>
        <v>0.32367724867724867</v>
      </c>
      <c r="AJ327" s="12">
        <f t="shared" si="111"/>
        <v>0.37447089947089945</v>
      </c>
      <c r="AK327" s="12">
        <f t="shared" si="112"/>
        <v>0</v>
      </c>
      <c r="AL327" s="12">
        <f t="shared" si="113"/>
        <v>0.69814814814814818</v>
      </c>
      <c r="AM327" s="13">
        <v>0</v>
      </c>
      <c r="AN327" s="13">
        <v>380</v>
      </c>
      <c r="AO327" s="13">
        <v>0</v>
      </c>
      <c r="AP327" s="13">
        <v>0</v>
      </c>
      <c r="AQ327" s="12">
        <v>8090</v>
      </c>
      <c r="AR327" s="13">
        <v>1093.2432432432433</v>
      </c>
      <c r="AS327" s="17" t="s">
        <v>135</v>
      </c>
    </row>
    <row r="328" spans="1:45" x14ac:dyDescent="0.25">
      <c r="A328" s="22">
        <v>45932</v>
      </c>
      <c r="B328" s="10" t="str">
        <f t="shared" si="105"/>
        <v>2025</v>
      </c>
      <c r="C328" s="10" t="str">
        <f t="shared" si="106"/>
        <v>October</v>
      </c>
      <c r="D328" s="10"/>
      <c r="E328" s="11">
        <v>667</v>
      </c>
      <c r="F328" s="12">
        <v>9004.5</v>
      </c>
      <c r="G328" s="13">
        <v>1000.5</v>
      </c>
      <c r="H328" s="14" t="s">
        <v>31</v>
      </c>
      <c r="I328" s="6">
        <v>0</v>
      </c>
      <c r="J328" s="6">
        <v>57</v>
      </c>
      <c r="K328" s="6"/>
      <c r="L328" s="6">
        <v>6361</v>
      </c>
      <c r="M328" s="6">
        <v>2830</v>
      </c>
      <c r="N328" s="6">
        <v>3531</v>
      </c>
      <c r="O328" s="6"/>
      <c r="P328" s="6">
        <v>3420</v>
      </c>
      <c r="Q328" s="6">
        <v>0</v>
      </c>
      <c r="R328" s="6">
        <v>0</v>
      </c>
      <c r="S328" s="6">
        <v>0</v>
      </c>
      <c r="T328" s="6">
        <v>0</v>
      </c>
      <c r="U328" s="14" t="s">
        <v>132</v>
      </c>
      <c r="V328" s="14" t="s">
        <v>133</v>
      </c>
      <c r="W328" s="6">
        <v>12</v>
      </c>
      <c r="X328" s="6">
        <v>9</v>
      </c>
      <c r="Y328" s="15">
        <v>0.88235294117647067</v>
      </c>
      <c r="Z328" s="16">
        <v>0.75</v>
      </c>
      <c r="AA328" s="16"/>
      <c r="AB328" s="16"/>
      <c r="AC328" s="13">
        <v>0</v>
      </c>
      <c r="AD328" s="13">
        <v>0</v>
      </c>
      <c r="AE328" s="13">
        <v>706.77777777777783</v>
      </c>
      <c r="AF328" s="12">
        <f t="shared" si="107"/>
        <v>314.44444444444446</v>
      </c>
      <c r="AG328" s="12">
        <f t="shared" si="108"/>
        <v>392.33333333333331</v>
      </c>
      <c r="AH328" s="12">
        <f t="shared" si="109"/>
        <v>0</v>
      </c>
      <c r="AI328" s="12">
        <f t="shared" si="110"/>
        <v>0.31428730079404743</v>
      </c>
      <c r="AJ328" s="12">
        <f t="shared" si="111"/>
        <v>0.39213726470098287</v>
      </c>
      <c r="AK328" s="12">
        <f t="shared" si="112"/>
        <v>0</v>
      </c>
      <c r="AL328" s="12">
        <f t="shared" si="113"/>
        <v>0.7064245654950303</v>
      </c>
      <c r="AM328" s="13">
        <v>0</v>
      </c>
      <c r="AN328" s="13">
        <v>380</v>
      </c>
      <c r="AO328" s="13">
        <v>0</v>
      </c>
      <c r="AP328" s="13">
        <v>0</v>
      </c>
      <c r="AQ328" s="12">
        <v>9781</v>
      </c>
      <c r="AR328" s="13">
        <v>1086.7777777777778</v>
      </c>
      <c r="AS328" s="17"/>
    </row>
    <row r="329" spans="1:45" x14ac:dyDescent="0.25">
      <c r="A329" s="22">
        <v>45933</v>
      </c>
      <c r="B329" s="10" t="str">
        <f t="shared" si="105"/>
        <v>2025</v>
      </c>
      <c r="C329" s="10" t="str">
        <f t="shared" si="106"/>
        <v>October</v>
      </c>
      <c r="D329" s="10"/>
      <c r="E329" s="11">
        <v>674</v>
      </c>
      <c r="F329" s="12">
        <v>9099</v>
      </c>
      <c r="G329" s="13">
        <v>1011</v>
      </c>
      <c r="H329" s="14" t="s">
        <v>31</v>
      </c>
      <c r="I329" s="6">
        <v>0</v>
      </c>
      <c r="J329" s="6">
        <v>57</v>
      </c>
      <c r="K329" s="6"/>
      <c r="L329" s="6">
        <v>6335</v>
      </c>
      <c r="M329" s="6">
        <v>2913</v>
      </c>
      <c r="N329" s="6">
        <v>3422</v>
      </c>
      <c r="O329" s="6"/>
      <c r="P329" s="6">
        <v>3420</v>
      </c>
      <c r="Q329" s="6">
        <v>0</v>
      </c>
      <c r="R329" s="6">
        <v>0</v>
      </c>
      <c r="S329" s="6">
        <v>0</v>
      </c>
      <c r="T329" s="6">
        <v>0</v>
      </c>
      <c r="U329" s="14" t="s">
        <v>132</v>
      </c>
      <c r="V329" s="14" t="s">
        <v>133</v>
      </c>
      <c r="W329" s="6">
        <v>12</v>
      </c>
      <c r="X329" s="6">
        <v>9</v>
      </c>
      <c r="Y329" s="15">
        <v>0.88235294117647067</v>
      </c>
      <c r="Z329" s="16">
        <v>0.75</v>
      </c>
      <c r="AA329" s="16"/>
      <c r="AB329" s="16"/>
      <c r="AC329" s="13">
        <v>0</v>
      </c>
      <c r="AD329" s="13">
        <v>0</v>
      </c>
      <c r="AE329" s="13">
        <v>703.88888888888891</v>
      </c>
      <c r="AF329" s="12">
        <f t="shared" si="107"/>
        <v>323.66666666666669</v>
      </c>
      <c r="AG329" s="12">
        <f t="shared" si="108"/>
        <v>380.22222222222223</v>
      </c>
      <c r="AH329" s="12">
        <f t="shared" si="109"/>
        <v>0</v>
      </c>
      <c r="AI329" s="12">
        <f t="shared" si="110"/>
        <v>0.32014507088691063</v>
      </c>
      <c r="AJ329" s="12">
        <f t="shared" si="111"/>
        <v>0.37608528409715353</v>
      </c>
      <c r="AK329" s="12">
        <f t="shared" si="112"/>
        <v>0</v>
      </c>
      <c r="AL329" s="12">
        <f t="shared" si="113"/>
        <v>0.69623035498406416</v>
      </c>
      <c r="AM329" s="13">
        <v>0</v>
      </c>
      <c r="AN329" s="13">
        <v>380</v>
      </c>
      <c r="AO329" s="13">
        <v>0</v>
      </c>
      <c r="AP329" s="13">
        <v>0</v>
      </c>
      <c r="AQ329" s="12">
        <v>9755</v>
      </c>
      <c r="AR329" s="13">
        <v>1083.8888888888889</v>
      </c>
      <c r="AS329" s="17"/>
    </row>
    <row r="330" spans="1:45" x14ac:dyDescent="0.25">
      <c r="A330" s="22">
        <v>45936</v>
      </c>
      <c r="B330" s="10" t="str">
        <f t="shared" si="105"/>
        <v>2025</v>
      </c>
      <c r="C330" s="10" t="str">
        <f t="shared" si="106"/>
        <v>October</v>
      </c>
      <c r="D330" s="10"/>
      <c r="E330" s="11">
        <v>578</v>
      </c>
      <c r="F330" s="12">
        <v>7803</v>
      </c>
      <c r="G330" s="13">
        <v>1040.4000000000001</v>
      </c>
      <c r="H330" s="14" t="s">
        <v>31</v>
      </c>
      <c r="I330" s="6">
        <v>0</v>
      </c>
      <c r="J330" s="6">
        <v>57</v>
      </c>
      <c r="K330" s="6"/>
      <c r="L330" s="6">
        <v>5457</v>
      </c>
      <c r="M330" s="6">
        <v>2429</v>
      </c>
      <c r="N330" s="6">
        <v>3028</v>
      </c>
      <c r="O330" s="6"/>
      <c r="P330" s="6">
        <v>2881</v>
      </c>
      <c r="Q330" s="6">
        <v>0</v>
      </c>
      <c r="R330" s="6">
        <v>0</v>
      </c>
      <c r="S330" s="6">
        <v>0</v>
      </c>
      <c r="T330" s="6">
        <v>0</v>
      </c>
      <c r="U330" s="14" t="s">
        <v>132</v>
      </c>
      <c r="V330" s="14" t="s">
        <v>133</v>
      </c>
      <c r="W330" s="6">
        <v>10</v>
      </c>
      <c r="X330" s="6">
        <v>7.5</v>
      </c>
      <c r="Y330" s="15">
        <v>0.88235294117647056</v>
      </c>
      <c r="Z330" s="16">
        <v>0.75</v>
      </c>
      <c r="AA330" s="16"/>
      <c r="AB330" s="16"/>
      <c r="AC330" s="13">
        <v>0</v>
      </c>
      <c r="AD330" s="13">
        <v>0</v>
      </c>
      <c r="AE330" s="13">
        <v>727.6</v>
      </c>
      <c r="AF330" s="12">
        <f t="shared" si="107"/>
        <v>323.86666666666667</v>
      </c>
      <c r="AG330" s="12">
        <f t="shared" si="108"/>
        <v>403.73333333333335</v>
      </c>
      <c r="AH330" s="12">
        <f t="shared" si="109"/>
        <v>0</v>
      </c>
      <c r="AI330" s="12">
        <f t="shared" si="110"/>
        <v>0.31129052928360884</v>
      </c>
      <c r="AJ330" s="12">
        <f t="shared" si="111"/>
        <v>0.38805587594514929</v>
      </c>
      <c r="AK330" s="12">
        <f t="shared" si="112"/>
        <v>0</v>
      </c>
      <c r="AL330" s="12">
        <f t="shared" si="113"/>
        <v>0.69934640522875813</v>
      </c>
      <c r="AM330" s="13">
        <v>0</v>
      </c>
      <c r="AN330" s="13">
        <v>384.13333333333333</v>
      </c>
      <c r="AO330" s="13">
        <v>0</v>
      </c>
      <c r="AP330" s="13">
        <v>0</v>
      </c>
      <c r="AQ330" s="12">
        <v>8338</v>
      </c>
      <c r="AR330" s="13">
        <v>1111.7333333333333</v>
      </c>
      <c r="AS330" s="17" t="s">
        <v>136</v>
      </c>
    </row>
    <row r="331" spans="1:45" x14ac:dyDescent="0.25">
      <c r="A331" s="22">
        <v>45937</v>
      </c>
      <c r="B331" s="10" t="str">
        <f t="shared" si="105"/>
        <v>2025</v>
      </c>
      <c r="C331" s="10" t="str">
        <f t="shared" si="106"/>
        <v>October</v>
      </c>
      <c r="D331" s="10"/>
      <c r="E331" s="11"/>
      <c r="F331" s="12"/>
      <c r="G331" s="13"/>
      <c r="H331" s="14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14"/>
      <c r="V331" s="14"/>
      <c r="W331" s="6"/>
      <c r="X331" s="6"/>
      <c r="Y331" s="15"/>
      <c r="Z331" s="16">
        <v>0</v>
      </c>
      <c r="AA331" s="16"/>
      <c r="AB331" s="16"/>
      <c r="AC331" s="13"/>
      <c r="AD331" s="13"/>
      <c r="AE331" s="13"/>
      <c r="AF331" s="12"/>
      <c r="AG331" s="12"/>
      <c r="AH331" s="12"/>
      <c r="AI331" s="12"/>
      <c r="AJ331" s="12"/>
      <c r="AK331" s="12"/>
      <c r="AL331" s="12"/>
      <c r="AM331" s="13"/>
      <c r="AN331" s="13"/>
      <c r="AO331" s="13"/>
      <c r="AP331" s="13"/>
      <c r="AQ331" s="12"/>
      <c r="AR331" s="13"/>
      <c r="AS331" s="17"/>
    </row>
    <row r="332" spans="1:45" x14ac:dyDescent="0.25">
      <c r="A332" s="22">
        <v>45938</v>
      </c>
      <c r="B332" s="10" t="str">
        <f t="shared" si="105"/>
        <v>2025</v>
      </c>
      <c r="C332" s="10" t="str">
        <f t="shared" si="106"/>
        <v>October</v>
      </c>
      <c r="D332" s="10"/>
      <c r="E332" s="11"/>
      <c r="F332" s="12"/>
      <c r="G332" s="13"/>
      <c r="H332" s="14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14"/>
      <c r="V332" s="14"/>
      <c r="W332" s="6"/>
      <c r="X332" s="6"/>
      <c r="Y332" s="15"/>
      <c r="Z332" s="16">
        <v>0</v>
      </c>
      <c r="AA332" s="16"/>
      <c r="AB332" s="16"/>
      <c r="AC332" s="13"/>
      <c r="AD332" s="13"/>
      <c r="AE332" s="13"/>
      <c r="AF332" s="12"/>
      <c r="AG332" s="12"/>
      <c r="AH332" s="12"/>
      <c r="AI332" s="12"/>
      <c r="AJ332" s="12"/>
      <c r="AK332" s="12"/>
      <c r="AL332" s="12"/>
      <c r="AM332" s="13"/>
      <c r="AN332" s="13"/>
      <c r="AO332" s="13"/>
      <c r="AP332" s="13"/>
      <c r="AQ332" s="12"/>
      <c r="AR332" s="13"/>
      <c r="AS332" s="17"/>
    </row>
    <row r="333" spans="1:45" x14ac:dyDescent="0.25">
      <c r="A333" s="22">
        <v>45939</v>
      </c>
      <c r="B333" s="10" t="str">
        <f t="shared" si="105"/>
        <v>2025</v>
      </c>
      <c r="C333" s="10" t="str">
        <f t="shared" si="106"/>
        <v>October</v>
      </c>
      <c r="D333" s="10"/>
      <c r="E333" s="11">
        <v>110</v>
      </c>
      <c r="F333" s="12">
        <v>1485</v>
      </c>
      <c r="G333" s="13">
        <v>1237.5</v>
      </c>
      <c r="H333" s="14" t="s">
        <v>31</v>
      </c>
      <c r="I333" s="6">
        <v>0</v>
      </c>
      <c r="J333" s="6">
        <v>57</v>
      </c>
      <c r="K333" s="6"/>
      <c r="L333" s="6">
        <v>1023</v>
      </c>
      <c r="M333" s="6">
        <v>550</v>
      </c>
      <c r="N333" s="6">
        <v>473</v>
      </c>
      <c r="O333" s="6"/>
      <c r="P333" s="6">
        <v>456</v>
      </c>
      <c r="Q333" s="6">
        <v>0</v>
      </c>
      <c r="R333" s="6">
        <v>0</v>
      </c>
      <c r="S333" s="6">
        <v>0</v>
      </c>
      <c r="T333" s="6">
        <v>0</v>
      </c>
      <c r="U333" s="14" t="s">
        <v>132</v>
      </c>
      <c r="V333" s="14" t="s">
        <v>133</v>
      </c>
      <c r="W333" s="6">
        <v>12</v>
      </c>
      <c r="X333" s="6">
        <v>1.2</v>
      </c>
      <c r="Y333" s="15">
        <v>0.11764705882352941</v>
      </c>
      <c r="Z333" s="16">
        <v>9.9999999999999992E-2</v>
      </c>
      <c r="AA333" s="16"/>
      <c r="AB333" s="16"/>
      <c r="AC333" s="13">
        <v>0</v>
      </c>
      <c r="AD333" s="13">
        <v>0</v>
      </c>
      <c r="AE333" s="13">
        <v>852.5</v>
      </c>
      <c r="AF333" s="12">
        <f t="shared" si="107"/>
        <v>458.33333333333337</v>
      </c>
      <c r="AG333" s="12">
        <f t="shared" si="108"/>
        <v>394.16666666666669</v>
      </c>
      <c r="AH333" s="12">
        <f t="shared" si="109"/>
        <v>0</v>
      </c>
      <c r="AI333" s="12">
        <f t="shared" si="110"/>
        <v>0.37037037037037035</v>
      </c>
      <c r="AJ333" s="12">
        <f t="shared" si="111"/>
        <v>0.31851851851851853</v>
      </c>
      <c r="AK333" s="12">
        <f t="shared" si="112"/>
        <v>0</v>
      </c>
      <c r="AL333" s="12">
        <f t="shared" si="113"/>
        <v>0.68888888888888888</v>
      </c>
      <c r="AM333" s="13">
        <v>0</v>
      </c>
      <c r="AN333" s="13">
        <v>380</v>
      </c>
      <c r="AO333" s="13">
        <v>0</v>
      </c>
      <c r="AP333" s="13">
        <v>0</v>
      </c>
      <c r="AQ333" s="12">
        <v>1479</v>
      </c>
      <c r="AR333" s="13">
        <v>1232.5</v>
      </c>
      <c r="AS333" s="17" t="s">
        <v>137</v>
      </c>
    </row>
    <row r="334" spans="1:45" x14ac:dyDescent="0.25">
      <c r="A334" s="22">
        <v>45940</v>
      </c>
      <c r="B334" s="10" t="str">
        <f t="shared" ref="B334:B363" si="114">TEXT(A334,"YYYY")</f>
        <v>2025</v>
      </c>
      <c r="C334" s="10" t="str">
        <f t="shared" ref="C334:C363" si="115">TEXT(A334,"MMMM")</f>
        <v>October</v>
      </c>
      <c r="D334" s="10"/>
      <c r="E334" s="11">
        <v>593</v>
      </c>
      <c r="F334" s="12">
        <v>8005.5</v>
      </c>
      <c r="G334" s="13">
        <v>964.51807228915652</v>
      </c>
      <c r="H334" s="14" t="s">
        <v>31</v>
      </c>
      <c r="I334" s="6">
        <v>0</v>
      </c>
      <c r="J334" s="6">
        <v>57</v>
      </c>
      <c r="K334" s="6"/>
      <c r="L334" s="6">
        <v>5638</v>
      </c>
      <c r="M334" s="6">
        <v>2460</v>
      </c>
      <c r="N334" s="6">
        <v>3178</v>
      </c>
      <c r="O334" s="6"/>
      <c r="P334" s="6">
        <v>3166</v>
      </c>
      <c r="Q334" s="6">
        <v>0</v>
      </c>
      <c r="R334" s="6">
        <v>0</v>
      </c>
      <c r="S334" s="6">
        <v>0</v>
      </c>
      <c r="T334" s="6">
        <v>0</v>
      </c>
      <c r="U334" s="14" t="s">
        <v>132</v>
      </c>
      <c r="V334" s="14" t="s">
        <v>133</v>
      </c>
      <c r="W334" s="6">
        <v>12</v>
      </c>
      <c r="X334" s="6">
        <v>8.3000000000000007</v>
      </c>
      <c r="Y334" s="15">
        <v>0.81372549019607854</v>
      </c>
      <c r="Z334" s="16">
        <v>0.69166666666666676</v>
      </c>
      <c r="AA334" s="16"/>
      <c r="AB334" s="16"/>
      <c r="AC334" s="13">
        <v>0</v>
      </c>
      <c r="AD334" s="13">
        <v>0</v>
      </c>
      <c r="AE334" s="13">
        <v>679.27710843373484</v>
      </c>
      <c r="AF334" s="12">
        <f t="shared" si="107"/>
        <v>296.38554216867465</v>
      </c>
      <c r="AG334" s="12">
        <f t="shared" si="108"/>
        <v>382.89156626506019</v>
      </c>
      <c r="AH334" s="12">
        <f t="shared" si="109"/>
        <v>0</v>
      </c>
      <c r="AI334" s="12">
        <f t="shared" si="110"/>
        <v>0.30728873899194303</v>
      </c>
      <c r="AJ334" s="12">
        <f t="shared" si="111"/>
        <v>0.39697707825869716</v>
      </c>
      <c r="AK334" s="12">
        <f t="shared" si="112"/>
        <v>0</v>
      </c>
      <c r="AL334" s="12">
        <f t="shared" si="113"/>
        <v>0.70426581725064019</v>
      </c>
      <c r="AM334" s="13">
        <v>0</v>
      </c>
      <c r="AN334" s="13">
        <v>381.4457831325301</v>
      </c>
      <c r="AO334" s="13">
        <v>0</v>
      </c>
      <c r="AP334" s="13">
        <v>0</v>
      </c>
      <c r="AQ334" s="12">
        <v>8804</v>
      </c>
      <c r="AR334" s="13">
        <v>1060.7228915662649</v>
      </c>
      <c r="AS334" s="17" t="s">
        <v>138</v>
      </c>
    </row>
    <row r="335" spans="1:45" x14ac:dyDescent="0.25">
      <c r="A335" s="22">
        <v>45941</v>
      </c>
      <c r="B335" s="10" t="str">
        <f t="shared" si="114"/>
        <v>2025</v>
      </c>
      <c r="C335" s="10" t="str">
        <f t="shared" si="115"/>
        <v>October</v>
      </c>
      <c r="D335" s="10"/>
      <c r="E335" s="11">
        <v>645</v>
      </c>
      <c r="F335" s="12">
        <v>8707.5</v>
      </c>
      <c r="G335" s="13">
        <v>967.5</v>
      </c>
      <c r="H335" s="14" t="s">
        <v>31</v>
      </c>
      <c r="I335" s="6">
        <v>0</v>
      </c>
      <c r="J335" s="6">
        <v>57</v>
      </c>
      <c r="K335" s="6"/>
      <c r="L335" s="6">
        <v>5906</v>
      </c>
      <c r="M335" s="6">
        <v>2301</v>
      </c>
      <c r="N335" s="6">
        <v>3605</v>
      </c>
      <c r="O335" s="6"/>
      <c r="P335" s="6">
        <v>4085</v>
      </c>
      <c r="Q335" s="6">
        <v>0</v>
      </c>
      <c r="R335" s="6">
        <v>0</v>
      </c>
      <c r="S335" s="6">
        <v>0</v>
      </c>
      <c r="T335" s="6">
        <v>0</v>
      </c>
      <c r="U335" s="14" t="s">
        <v>132</v>
      </c>
      <c r="V335" s="14" t="s">
        <v>133</v>
      </c>
      <c r="W335" s="6">
        <v>12</v>
      </c>
      <c r="X335" s="6">
        <v>9</v>
      </c>
      <c r="Y335" s="15">
        <v>0.88235294117647067</v>
      </c>
      <c r="Z335" s="16">
        <v>0.75</v>
      </c>
      <c r="AA335" s="16"/>
      <c r="AB335" s="16"/>
      <c r="AC335" s="13">
        <v>0</v>
      </c>
      <c r="AD335" s="13">
        <v>0</v>
      </c>
      <c r="AE335" s="13">
        <v>656.22222222222217</v>
      </c>
      <c r="AF335" s="12">
        <f t="shared" si="107"/>
        <v>255.66666666666666</v>
      </c>
      <c r="AG335" s="12">
        <f t="shared" si="108"/>
        <v>400.55555555555554</v>
      </c>
      <c r="AH335" s="12">
        <f t="shared" si="109"/>
        <v>0</v>
      </c>
      <c r="AI335" s="12">
        <f t="shared" si="110"/>
        <v>0.26425495262704563</v>
      </c>
      <c r="AJ335" s="12">
        <f t="shared" si="111"/>
        <v>0.41401091013494112</v>
      </c>
      <c r="AK335" s="12">
        <f t="shared" si="112"/>
        <v>0</v>
      </c>
      <c r="AL335" s="12">
        <f t="shared" si="113"/>
        <v>0.67826586276198675</v>
      </c>
      <c r="AM335" s="13">
        <v>0</v>
      </c>
      <c r="AN335" s="13">
        <v>453.88888888888891</v>
      </c>
      <c r="AO335" s="13">
        <v>0</v>
      </c>
      <c r="AP335" s="13">
        <v>0</v>
      </c>
      <c r="AQ335" s="12">
        <v>9991</v>
      </c>
      <c r="AR335" s="13">
        <v>1110.1111111111111</v>
      </c>
      <c r="AS335" s="17" t="s">
        <v>61</v>
      </c>
    </row>
    <row r="336" spans="1:45" x14ac:dyDescent="0.25">
      <c r="A336" s="22">
        <v>45942</v>
      </c>
      <c r="B336" s="10" t="str">
        <f t="shared" si="114"/>
        <v>2025</v>
      </c>
      <c r="C336" s="10" t="str">
        <f t="shared" si="115"/>
        <v>October</v>
      </c>
      <c r="D336" s="10"/>
      <c r="E336" s="11"/>
      <c r="F336" s="12"/>
      <c r="G336" s="13"/>
      <c r="H336" s="14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14"/>
      <c r="V336" s="14"/>
      <c r="W336" s="6"/>
      <c r="X336" s="6"/>
      <c r="Y336" s="15"/>
      <c r="Z336" s="16">
        <v>0</v>
      </c>
      <c r="AA336" s="16"/>
      <c r="AB336" s="16"/>
      <c r="AC336" s="13"/>
      <c r="AD336" s="13"/>
      <c r="AE336" s="13"/>
      <c r="AF336" s="12"/>
      <c r="AG336" s="12"/>
      <c r="AH336" s="12"/>
      <c r="AI336" s="12"/>
      <c r="AJ336" s="12"/>
      <c r="AK336" s="12"/>
      <c r="AL336" s="12"/>
      <c r="AM336" s="13"/>
      <c r="AN336" s="13"/>
      <c r="AO336" s="13"/>
      <c r="AP336" s="13"/>
      <c r="AQ336" s="12"/>
      <c r="AR336" s="13"/>
      <c r="AS336" s="17"/>
    </row>
    <row r="337" spans="1:47" x14ac:dyDescent="0.25">
      <c r="A337" s="22">
        <v>45943</v>
      </c>
      <c r="B337" s="10" t="str">
        <f t="shared" si="114"/>
        <v>2025</v>
      </c>
      <c r="C337" s="10" t="str">
        <f t="shared" si="115"/>
        <v>October</v>
      </c>
      <c r="D337" s="10"/>
      <c r="E337" s="11"/>
      <c r="F337" s="12"/>
      <c r="G337" s="13"/>
      <c r="H337" s="14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14"/>
      <c r="V337" s="14"/>
      <c r="W337" s="6"/>
      <c r="X337" s="6"/>
      <c r="Y337" s="15"/>
      <c r="Z337" s="16">
        <v>0</v>
      </c>
      <c r="AA337" s="16"/>
      <c r="AB337" s="16"/>
      <c r="AC337" s="13"/>
      <c r="AD337" s="13"/>
      <c r="AE337" s="13"/>
      <c r="AF337" s="12"/>
      <c r="AG337" s="12"/>
      <c r="AH337" s="12"/>
      <c r="AI337" s="12"/>
      <c r="AJ337" s="12"/>
      <c r="AK337" s="12"/>
      <c r="AL337" s="12"/>
      <c r="AM337" s="13"/>
      <c r="AN337" s="13"/>
      <c r="AO337" s="13"/>
      <c r="AP337" s="13"/>
      <c r="AQ337" s="12"/>
      <c r="AR337" s="13"/>
      <c r="AS337" s="17"/>
    </row>
    <row r="338" spans="1:47" x14ac:dyDescent="0.25">
      <c r="A338" s="22">
        <v>45945</v>
      </c>
      <c r="B338" s="10" t="str">
        <f t="shared" si="114"/>
        <v>2025</v>
      </c>
      <c r="C338" s="10" t="str">
        <f t="shared" si="115"/>
        <v>October</v>
      </c>
      <c r="D338" s="10"/>
      <c r="E338" s="11">
        <v>793</v>
      </c>
      <c r="F338" s="12">
        <v>10705.5</v>
      </c>
      <c r="G338" s="13">
        <v>1039.3689320388348</v>
      </c>
      <c r="H338" s="14" t="s">
        <v>31</v>
      </c>
      <c r="I338" s="6">
        <v>0</v>
      </c>
      <c r="J338" s="6">
        <v>57</v>
      </c>
      <c r="K338" s="6"/>
      <c r="L338" s="6">
        <v>5652</v>
      </c>
      <c r="M338" s="6">
        <v>2456</v>
      </c>
      <c r="N338" s="6">
        <v>3196</v>
      </c>
      <c r="O338" s="6"/>
      <c r="P338" s="6">
        <v>4674</v>
      </c>
      <c r="Q338" s="6">
        <v>0</v>
      </c>
      <c r="R338" s="6">
        <v>0</v>
      </c>
      <c r="S338" s="6">
        <v>0</v>
      </c>
      <c r="T338" s="6">
        <v>0</v>
      </c>
      <c r="U338" s="14" t="s">
        <v>139</v>
      </c>
      <c r="V338" s="14" t="s">
        <v>133</v>
      </c>
      <c r="W338" s="6">
        <v>12</v>
      </c>
      <c r="X338" s="6">
        <v>10.3</v>
      </c>
      <c r="Y338" s="15">
        <v>1.0098039215686276</v>
      </c>
      <c r="Z338" s="16">
        <v>0.85833333333333339</v>
      </c>
      <c r="AA338" s="16"/>
      <c r="AB338" s="16"/>
      <c r="AC338" s="13">
        <v>0</v>
      </c>
      <c r="AD338" s="13">
        <v>0</v>
      </c>
      <c r="AE338" s="13">
        <v>548.73786407766988</v>
      </c>
      <c r="AF338" s="12">
        <f t="shared" si="107"/>
        <v>238.44660194174756</v>
      </c>
      <c r="AG338" s="12">
        <f t="shared" si="108"/>
        <v>310.2912621359223</v>
      </c>
      <c r="AH338" s="12">
        <f t="shared" si="109"/>
        <v>0</v>
      </c>
      <c r="AI338" s="12">
        <f t="shared" si="110"/>
        <v>0.22941478679183597</v>
      </c>
      <c r="AJ338" s="12">
        <f t="shared" si="111"/>
        <v>0.29853813460370837</v>
      </c>
      <c r="AK338" s="12">
        <f t="shared" si="112"/>
        <v>0</v>
      </c>
      <c r="AL338" s="12">
        <f t="shared" si="113"/>
        <v>0.52795292139554428</v>
      </c>
      <c r="AM338" s="13">
        <v>0</v>
      </c>
      <c r="AN338" s="13">
        <v>453.78640776699024</v>
      </c>
      <c r="AO338" s="13">
        <v>0</v>
      </c>
      <c r="AP338" s="13">
        <v>0</v>
      </c>
      <c r="AQ338" s="12">
        <v>10326</v>
      </c>
      <c r="AR338" s="13">
        <v>1002.5242718446601</v>
      </c>
      <c r="AS338" s="17" t="s">
        <v>140</v>
      </c>
    </row>
    <row r="339" spans="1:47" x14ac:dyDescent="0.25">
      <c r="A339" s="22">
        <v>45946</v>
      </c>
      <c r="B339" s="10" t="str">
        <f t="shared" si="114"/>
        <v>2025</v>
      </c>
      <c r="C339" s="10" t="str">
        <f t="shared" si="115"/>
        <v>October</v>
      </c>
      <c r="D339" s="10"/>
      <c r="E339" s="11">
        <v>814</v>
      </c>
      <c r="F339" s="12">
        <v>10989</v>
      </c>
      <c r="G339" s="13">
        <v>1072.0975609756097</v>
      </c>
      <c r="H339" s="14" t="s">
        <v>31</v>
      </c>
      <c r="I339" s="6">
        <v>0</v>
      </c>
      <c r="J339" s="6">
        <v>57</v>
      </c>
      <c r="K339" s="6"/>
      <c r="L339" s="6">
        <v>6917</v>
      </c>
      <c r="M339" s="6">
        <v>2936</v>
      </c>
      <c r="N339" s="6">
        <v>3981</v>
      </c>
      <c r="O339" s="6"/>
      <c r="P339" s="6">
        <v>4652</v>
      </c>
      <c r="Q339" s="6">
        <v>0</v>
      </c>
      <c r="R339" s="6">
        <v>0</v>
      </c>
      <c r="S339" s="6">
        <v>0</v>
      </c>
      <c r="T339" s="6">
        <v>0</v>
      </c>
      <c r="U339" s="14" t="s">
        <v>139</v>
      </c>
      <c r="V339" s="14" t="s">
        <v>133</v>
      </c>
      <c r="W339" s="6">
        <v>12</v>
      </c>
      <c r="X339" s="6">
        <v>10.25</v>
      </c>
      <c r="Y339" s="15">
        <v>1.0049019607843137</v>
      </c>
      <c r="Z339" s="16">
        <v>0.85416666666666663</v>
      </c>
      <c r="AA339" s="16"/>
      <c r="AB339" s="16"/>
      <c r="AC339" s="13">
        <v>0</v>
      </c>
      <c r="AD339" s="13">
        <v>0</v>
      </c>
      <c r="AE339" s="13">
        <v>674.82926829268297</v>
      </c>
      <c r="AF339" s="12">
        <f t="shared" si="107"/>
        <v>286.4390243902439</v>
      </c>
      <c r="AG339" s="12">
        <f t="shared" si="108"/>
        <v>388.39024390243901</v>
      </c>
      <c r="AH339" s="12">
        <f t="shared" si="109"/>
        <v>0</v>
      </c>
      <c r="AI339" s="12">
        <f t="shared" si="110"/>
        <v>0.26717626717626719</v>
      </c>
      <c r="AJ339" s="12">
        <f t="shared" si="111"/>
        <v>0.36227136227136225</v>
      </c>
      <c r="AK339" s="12">
        <f t="shared" si="112"/>
        <v>0</v>
      </c>
      <c r="AL339" s="12">
        <f t="shared" si="113"/>
        <v>0.62944762944762944</v>
      </c>
      <c r="AM339" s="13">
        <v>0</v>
      </c>
      <c r="AN339" s="13">
        <v>453.85365853658539</v>
      </c>
      <c r="AO339" s="13">
        <v>0</v>
      </c>
      <c r="AP339" s="13">
        <v>0</v>
      </c>
      <c r="AQ339" s="12">
        <v>11569</v>
      </c>
      <c r="AR339" s="13">
        <v>1128.6829268292684</v>
      </c>
      <c r="AS339" s="17" t="s">
        <v>141</v>
      </c>
    </row>
    <row r="340" spans="1:47" x14ac:dyDescent="0.25">
      <c r="A340" s="22">
        <v>45947</v>
      </c>
      <c r="B340" s="10" t="str">
        <f t="shared" si="114"/>
        <v>2025</v>
      </c>
      <c r="C340" s="10" t="str">
        <f t="shared" si="115"/>
        <v>October</v>
      </c>
      <c r="D340" s="10"/>
      <c r="E340" s="11">
        <v>273</v>
      </c>
      <c r="F340" s="12">
        <v>3685.5</v>
      </c>
      <c r="G340" s="13">
        <v>1228.5</v>
      </c>
      <c r="H340" s="14" t="s">
        <v>31</v>
      </c>
      <c r="I340" s="6">
        <v>0</v>
      </c>
      <c r="J340" s="6">
        <v>57</v>
      </c>
      <c r="K340" s="6"/>
      <c r="L340" s="6">
        <v>2291</v>
      </c>
      <c r="M340" s="6">
        <v>900</v>
      </c>
      <c r="N340" s="6">
        <v>1391</v>
      </c>
      <c r="O340" s="6"/>
      <c r="P340" s="6">
        <v>1140</v>
      </c>
      <c r="Q340" s="6">
        <v>0</v>
      </c>
      <c r="R340" s="6">
        <v>0</v>
      </c>
      <c r="S340" s="6">
        <v>0</v>
      </c>
      <c r="T340" s="6">
        <v>0</v>
      </c>
      <c r="U340" s="14" t="s">
        <v>139</v>
      </c>
      <c r="V340" s="14" t="s">
        <v>133</v>
      </c>
      <c r="W340" s="6">
        <v>12</v>
      </c>
      <c r="X340" s="6">
        <v>3</v>
      </c>
      <c r="Y340" s="15">
        <v>0.29411764705882354</v>
      </c>
      <c r="Z340" s="16">
        <v>0.25</v>
      </c>
      <c r="AA340" s="16"/>
      <c r="AB340" s="16"/>
      <c r="AC340" s="13">
        <v>0</v>
      </c>
      <c r="AD340" s="13">
        <v>0</v>
      </c>
      <c r="AE340" s="13">
        <v>763.66666666666663</v>
      </c>
      <c r="AF340" s="12">
        <f t="shared" si="107"/>
        <v>300</v>
      </c>
      <c r="AG340" s="12">
        <f t="shared" si="108"/>
        <v>463.66666666666669</v>
      </c>
      <c r="AH340" s="12">
        <f t="shared" si="109"/>
        <v>0</v>
      </c>
      <c r="AI340" s="12">
        <f t="shared" si="110"/>
        <v>0.24420024420024419</v>
      </c>
      <c r="AJ340" s="12">
        <f t="shared" si="111"/>
        <v>0.37742504409171074</v>
      </c>
      <c r="AK340" s="12">
        <f t="shared" si="112"/>
        <v>0</v>
      </c>
      <c r="AL340" s="12">
        <f t="shared" si="113"/>
        <v>0.62162528829195496</v>
      </c>
      <c r="AM340" s="13">
        <v>0</v>
      </c>
      <c r="AN340" s="13">
        <v>380</v>
      </c>
      <c r="AO340" s="13">
        <v>0</v>
      </c>
      <c r="AP340" s="13">
        <v>0</v>
      </c>
      <c r="AQ340" s="12">
        <v>3431</v>
      </c>
      <c r="AR340" s="13">
        <v>1143.6666666666665</v>
      </c>
      <c r="AS340" s="17" t="s">
        <v>142</v>
      </c>
    </row>
    <row r="341" spans="1:47" x14ac:dyDescent="0.25">
      <c r="A341" s="22">
        <v>45948</v>
      </c>
      <c r="B341" s="10" t="str">
        <f t="shared" si="114"/>
        <v>2025</v>
      </c>
      <c r="C341" s="10" t="str">
        <f t="shared" si="115"/>
        <v>October</v>
      </c>
      <c r="D341" s="10"/>
      <c r="E341" s="11">
        <v>417</v>
      </c>
      <c r="F341" s="12">
        <v>5629.5</v>
      </c>
      <c r="G341" s="13">
        <v>938.25</v>
      </c>
      <c r="H341" s="14" t="s">
        <v>31</v>
      </c>
      <c r="I341" s="6">
        <v>0</v>
      </c>
      <c r="J341" s="6">
        <v>57</v>
      </c>
      <c r="K341" s="6"/>
      <c r="L341" s="6">
        <v>4229</v>
      </c>
      <c r="M341" s="6">
        <v>1554</v>
      </c>
      <c r="N341" s="6">
        <v>2675</v>
      </c>
      <c r="O341" s="6"/>
      <c r="P341" s="6">
        <v>2280</v>
      </c>
      <c r="Q341" s="6">
        <v>0</v>
      </c>
      <c r="R341" s="6">
        <v>0</v>
      </c>
      <c r="S341" s="6">
        <v>0</v>
      </c>
      <c r="T341" s="6">
        <v>0</v>
      </c>
      <c r="U341" s="14" t="s">
        <v>139</v>
      </c>
      <c r="V341" s="14" t="s">
        <v>133</v>
      </c>
      <c r="W341" s="6">
        <v>7</v>
      </c>
      <c r="X341" s="6">
        <v>6</v>
      </c>
      <c r="Y341" s="15">
        <v>1.0084033613445378</v>
      </c>
      <c r="Z341" s="16">
        <v>0.8571428571428571</v>
      </c>
      <c r="AA341" s="16"/>
      <c r="AB341" s="16"/>
      <c r="AC341" s="13">
        <v>0</v>
      </c>
      <c r="AD341" s="13">
        <v>0</v>
      </c>
      <c r="AE341" s="13">
        <v>704.83333333333337</v>
      </c>
      <c r="AF341" s="12">
        <f t="shared" ref="AF341:AF406" si="116">IF(X341="","",IF(X341=0,"",M341/X341))</f>
        <v>259</v>
      </c>
      <c r="AG341" s="12">
        <f t="shared" ref="AG341:AG406" si="117">IF(X341="","",IF(X341=0,"",N341/X341))</f>
        <v>445.83333333333331</v>
      </c>
      <c r="AH341" s="12">
        <f t="shared" ref="AH341:AH406" si="118">IF(X341="","",IF(X341=0,"",O341/X341))</f>
        <v>0</v>
      </c>
      <c r="AI341" s="12">
        <f t="shared" ref="AI341:AI346" si="119">IF(X341="","",IF(X341=0,"",M341/F341))</f>
        <v>0.27604583000266453</v>
      </c>
      <c r="AJ341" s="12">
        <f t="shared" ref="AJ341:AJ346" si="120">IF(X341="","",IF(X341=0,"",N341/F341))</f>
        <v>0.47517541522337686</v>
      </c>
      <c r="AK341" s="12">
        <f t="shared" ref="AK341:AK346" si="121">IF(X341="","",IF(X341=0,"",O341/F341))</f>
        <v>0</v>
      </c>
      <c r="AL341" s="12">
        <f t="shared" ref="AL341:AL406" si="122">AI341+AJ341+AK341</f>
        <v>0.75122124522604139</v>
      </c>
      <c r="AM341" s="13">
        <v>0</v>
      </c>
      <c r="AN341" s="13">
        <v>380</v>
      </c>
      <c r="AO341" s="13">
        <v>0</v>
      </c>
      <c r="AP341" s="13">
        <v>0</v>
      </c>
      <c r="AQ341" s="12">
        <v>6509</v>
      </c>
      <c r="AR341" s="13">
        <v>1084.8333333333335</v>
      </c>
      <c r="AS341" s="17" t="s">
        <v>143</v>
      </c>
    </row>
    <row r="342" spans="1:47" x14ac:dyDescent="0.25">
      <c r="A342" s="22">
        <v>45949</v>
      </c>
      <c r="B342" s="10" t="str">
        <f t="shared" si="114"/>
        <v>2025</v>
      </c>
      <c r="C342" s="10" t="str">
        <f t="shared" si="115"/>
        <v>October</v>
      </c>
      <c r="D342" s="10"/>
      <c r="E342" s="11"/>
      <c r="F342" s="12"/>
      <c r="G342" s="13"/>
      <c r="H342" s="14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14"/>
      <c r="V342" s="14"/>
      <c r="W342" s="6"/>
      <c r="X342" s="6"/>
      <c r="Y342" s="15"/>
      <c r="Z342" s="16">
        <v>0</v>
      </c>
      <c r="AA342" s="16"/>
      <c r="AB342" s="16"/>
      <c r="AC342" s="13"/>
      <c r="AD342" s="13"/>
      <c r="AE342" s="13"/>
      <c r="AF342" s="12"/>
      <c r="AG342" s="12"/>
      <c r="AH342" s="12"/>
      <c r="AI342" s="12"/>
      <c r="AJ342" s="12"/>
      <c r="AK342" s="12"/>
      <c r="AL342" s="12"/>
      <c r="AM342" s="13"/>
      <c r="AN342" s="13"/>
      <c r="AO342" s="13"/>
      <c r="AP342" s="13"/>
      <c r="AQ342" s="12"/>
      <c r="AR342" s="13"/>
      <c r="AS342" s="17"/>
    </row>
    <row r="343" spans="1:47" x14ac:dyDescent="0.25">
      <c r="A343" s="22">
        <v>45951</v>
      </c>
      <c r="B343" s="10" t="str">
        <f t="shared" si="114"/>
        <v>2025</v>
      </c>
      <c r="C343" s="10" t="str">
        <f t="shared" si="115"/>
        <v>October</v>
      </c>
      <c r="D343" s="10"/>
      <c r="E343" s="11">
        <v>803</v>
      </c>
      <c r="F343" s="12">
        <v>10840.5</v>
      </c>
      <c r="G343" s="13">
        <v>1032.4285714285713</v>
      </c>
      <c r="H343" s="14" t="s">
        <v>31</v>
      </c>
      <c r="I343" s="6">
        <v>0</v>
      </c>
      <c r="J343" s="6">
        <v>57</v>
      </c>
      <c r="K343" s="6"/>
      <c r="L343" s="6">
        <v>7571</v>
      </c>
      <c r="M343" s="6">
        <v>3001</v>
      </c>
      <c r="N343" s="6">
        <v>4570</v>
      </c>
      <c r="O343" s="6"/>
      <c r="P343" s="6">
        <v>3990</v>
      </c>
      <c r="Q343" s="6">
        <v>0</v>
      </c>
      <c r="R343" s="6">
        <v>0</v>
      </c>
      <c r="S343" s="6">
        <v>0</v>
      </c>
      <c r="T343" s="6">
        <v>0</v>
      </c>
      <c r="U343" s="14" t="s">
        <v>139</v>
      </c>
      <c r="V343" s="14" t="s">
        <v>133</v>
      </c>
      <c r="W343" s="6">
        <v>12</v>
      </c>
      <c r="X343" s="6">
        <v>10.5</v>
      </c>
      <c r="Y343" s="15">
        <v>1.0294117647058825</v>
      </c>
      <c r="Z343" s="16">
        <v>0.875</v>
      </c>
      <c r="AA343" s="16"/>
      <c r="AB343" s="16"/>
      <c r="AC343" s="13">
        <v>0</v>
      </c>
      <c r="AD343" s="13">
        <v>0</v>
      </c>
      <c r="AE343" s="13">
        <v>721.04761904761904</v>
      </c>
      <c r="AF343" s="12">
        <f t="shared" si="116"/>
        <v>285.8095238095238</v>
      </c>
      <c r="AG343" s="12">
        <f t="shared" si="117"/>
        <v>435.23809523809524</v>
      </c>
      <c r="AH343" s="12">
        <f t="shared" si="118"/>
        <v>0</v>
      </c>
      <c r="AI343" s="12">
        <f t="shared" si="119"/>
        <v>0.27683224943498919</v>
      </c>
      <c r="AJ343" s="12">
        <f t="shared" si="120"/>
        <v>0.42156727088233936</v>
      </c>
      <c r="AK343" s="12">
        <f t="shared" si="121"/>
        <v>0</v>
      </c>
      <c r="AL343" s="12">
        <f t="shared" si="122"/>
        <v>0.69839952031732855</v>
      </c>
      <c r="AM343" s="13">
        <v>0</v>
      </c>
      <c r="AN343" s="13">
        <v>380</v>
      </c>
      <c r="AO343" s="13">
        <v>0</v>
      </c>
      <c r="AP343" s="13">
        <v>0</v>
      </c>
      <c r="AQ343" s="12">
        <v>11561</v>
      </c>
      <c r="AR343" s="13">
        <v>1101.047619047619</v>
      </c>
      <c r="AS343" s="17" t="s">
        <v>144</v>
      </c>
    </row>
    <row r="344" spans="1:47" x14ac:dyDescent="0.25">
      <c r="A344" s="22">
        <v>45952</v>
      </c>
      <c r="B344" s="10" t="str">
        <f t="shared" si="114"/>
        <v>2025</v>
      </c>
      <c r="C344" s="10" t="str">
        <f t="shared" si="115"/>
        <v>October</v>
      </c>
      <c r="D344" s="10"/>
      <c r="E344" s="11">
        <v>470</v>
      </c>
      <c r="F344" s="12">
        <v>6345</v>
      </c>
      <c r="G344" s="13">
        <v>1015.2</v>
      </c>
      <c r="H344" s="14" t="s">
        <v>31</v>
      </c>
      <c r="I344" s="6">
        <v>0</v>
      </c>
      <c r="J344" s="6">
        <v>57</v>
      </c>
      <c r="K344" s="6"/>
      <c r="L344" s="6">
        <v>4392</v>
      </c>
      <c r="M344" s="6">
        <v>1797</v>
      </c>
      <c r="N344" s="6">
        <v>2595</v>
      </c>
      <c r="O344" s="6"/>
      <c r="P344" s="6">
        <v>2375</v>
      </c>
      <c r="Q344" s="6">
        <v>0</v>
      </c>
      <c r="R344" s="6">
        <v>0</v>
      </c>
      <c r="S344" s="6">
        <v>0</v>
      </c>
      <c r="T344" s="6">
        <v>0</v>
      </c>
      <c r="U344" s="14" t="s">
        <v>139</v>
      </c>
      <c r="V344" s="14" t="s">
        <v>133</v>
      </c>
      <c r="W344" s="6">
        <v>12</v>
      </c>
      <c r="X344" s="6">
        <v>6.25</v>
      </c>
      <c r="Y344" s="15">
        <v>0.61274509803921573</v>
      </c>
      <c r="Z344" s="16">
        <v>0.52083333333333337</v>
      </c>
      <c r="AA344" s="16"/>
      <c r="AB344" s="16"/>
      <c r="AC344" s="13">
        <v>0</v>
      </c>
      <c r="AD344" s="13">
        <v>0</v>
      </c>
      <c r="AE344" s="13">
        <v>702.72</v>
      </c>
      <c r="AF344" s="12">
        <f t="shared" si="116"/>
        <v>287.52</v>
      </c>
      <c r="AG344" s="12">
        <f t="shared" si="117"/>
        <v>415.2</v>
      </c>
      <c r="AH344" s="12">
        <f t="shared" si="118"/>
        <v>0</v>
      </c>
      <c r="AI344" s="12">
        <f t="shared" si="119"/>
        <v>0.28321513002364068</v>
      </c>
      <c r="AJ344" s="12">
        <f t="shared" si="120"/>
        <v>0.40898345153664301</v>
      </c>
      <c r="AK344" s="12">
        <f t="shared" si="121"/>
        <v>0</v>
      </c>
      <c r="AL344" s="12">
        <f t="shared" si="122"/>
        <v>0.69219858156028369</v>
      </c>
      <c r="AM344" s="13">
        <v>0</v>
      </c>
      <c r="AN344" s="13">
        <v>380</v>
      </c>
      <c r="AO344" s="13">
        <v>0</v>
      </c>
      <c r="AP344" s="13">
        <v>0</v>
      </c>
      <c r="AQ344" s="12">
        <v>6767</v>
      </c>
      <c r="AR344" s="13">
        <v>1082.72</v>
      </c>
      <c r="AS344" s="17" t="s">
        <v>145</v>
      </c>
    </row>
    <row r="345" spans="1:47" x14ac:dyDescent="0.25">
      <c r="A345" s="22">
        <v>45953</v>
      </c>
      <c r="B345" s="10" t="str">
        <f t="shared" si="114"/>
        <v>2025</v>
      </c>
      <c r="C345" s="10" t="str">
        <f t="shared" si="115"/>
        <v>October</v>
      </c>
      <c r="D345" s="10"/>
      <c r="E345" s="11">
        <v>469</v>
      </c>
      <c r="F345" s="12">
        <v>6331.5</v>
      </c>
      <c r="G345" s="13">
        <v>1055.25</v>
      </c>
      <c r="H345" s="14" t="s">
        <v>31</v>
      </c>
      <c r="I345" s="6">
        <v>0</v>
      </c>
      <c r="J345" s="6">
        <v>57</v>
      </c>
      <c r="K345" s="6"/>
      <c r="L345" s="6">
        <v>4383</v>
      </c>
      <c r="M345" s="6">
        <v>1722</v>
      </c>
      <c r="N345" s="6">
        <v>2661</v>
      </c>
      <c r="O345" s="6"/>
      <c r="P345" s="6">
        <v>2280</v>
      </c>
      <c r="Q345" s="6">
        <v>0</v>
      </c>
      <c r="R345" s="6">
        <v>0</v>
      </c>
      <c r="S345" s="6">
        <v>0</v>
      </c>
      <c r="T345" s="6">
        <v>0</v>
      </c>
      <c r="U345" s="14" t="s">
        <v>139</v>
      </c>
      <c r="V345" s="14" t="s">
        <v>133</v>
      </c>
      <c r="W345" s="6">
        <v>12</v>
      </c>
      <c r="X345" s="6">
        <v>6</v>
      </c>
      <c r="Y345" s="15">
        <v>0.58823529411764708</v>
      </c>
      <c r="Z345" s="16">
        <v>0.5</v>
      </c>
      <c r="AA345" s="16"/>
      <c r="AB345" s="16"/>
      <c r="AC345" s="13">
        <v>0</v>
      </c>
      <c r="AD345" s="13">
        <v>0</v>
      </c>
      <c r="AE345" s="13">
        <v>730.5</v>
      </c>
      <c r="AF345" s="12">
        <f t="shared" si="116"/>
        <v>287</v>
      </c>
      <c r="AG345" s="12">
        <f t="shared" si="117"/>
        <v>443.5</v>
      </c>
      <c r="AH345" s="12">
        <f t="shared" si="118"/>
        <v>0</v>
      </c>
      <c r="AI345" s="12">
        <f t="shared" si="119"/>
        <v>0.27197346600331673</v>
      </c>
      <c r="AJ345" s="12">
        <f t="shared" si="120"/>
        <v>0.42027955460791283</v>
      </c>
      <c r="AK345" s="12">
        <f t="shared" si="121"/>
        <v>0</v>
      </c>
      <c r="AL345" s="12">
        <f t="shared" si="122"/>
        <v>0.69225302061122962</v>
      </c>
      <c r="AM345" s="13">
        <v>0</v>
      </c>
      <c r="AN345" s="13">
        <v>380</v>
      </c>
      <c r="AO345" s="13">
        <v>0</v>
      </c>
      <c r="AP345" s="13">
        <v>0</v>
      </c>
      <c r="AQ345" s="12">
        <v>6663</v>
      </c>
      <c r="AR345" s="13">
        <v>1110.5</v>
      </c>
      <c r="AS345" s="17" t="s">
        <v>146</v>
      </c>
    </row>
    <row r="346" spans="1:47" x14ac:dyDescent="0.25">
      <c r="A346" s="22">
        <v>45954</v>
      </c>
      <c r="B346" s="10" t="str">
        <f t="shared" si="114"/>
        <v>2025</v>
      </c>
      <c r="C346" s="10" t="str">
        <f t="shared" si="115"/>
        <v>October</v>
      </c>
      <c r="D346" s="10"/>
      <c r="E346" s="11">
        <v>308</v>
      </c>
      <c r="F346" s="12">
        <v>4158</v>
      </c>
      <c r="G346" s="13">
        <v>1039.5</v>
      </c>
      <c r="H346" s="14" t="s">
        <v>31</v>
      </c>
      <c r="I346" s="6">
        <v>0</v>
      </c>
      <c r="J346" s="6">
        <v>57</v>
      </c>
      <c r="K346" s="6"/>
      <c r="L346" s="6">
        <v>2879</v>
      </c>
      <c r="M346" s="6">
        <v>1091</v>
      </c>
      <c r="N346" s="6">
        <v>1788</v>
      </c>
      <c r="O346" s="6"/>
      <c r="P346" s="6">
        <v>1520</v>
      </c>
      <c r="Q346" s="6">
        <v>0</v>
      </c>
      <c r="R346" s="6">
        <v>0</v>
      </c>
      <c r="S346" s="6">
        <v>0</v>
      </c>
      <c r="T346" s="6">
        <v>0</v>
      </c>
      <c r="U346" s="14" t="s">
        <v>139</v>
      </c>
      <c r="V346" s="14" t="s">
        <v>133</v>
      </c>
      <c r="W346" s="6">
        <v>12</v>
      </c>
      <c r="X346" s="6">
        <v>4</v>
      </c>
      <c r="Y346" s="15">
        <v>0.39215686274509809</v>
      </c>
      <c r="Z346" s="16">
        <v>0.33333333333333331</v>
      </c>
      <c r="AA346" s="16"/>
      <c r="AB346" s="16"/>
      <c r="AC346" s="13">
        <v>0</v>
      </c>
      <c r="AD346" s="13">
        <v>0</v>
      </c>
      <c r="AE346" s="13">
        <v>719.75</v>
      </c>
      <c r="AF346" s="12">
        <f t="shared" si="116"/>
        <v>272.75</v>
      </c>
      <c r="AG346" s="12">
        <f t="shared" si="117"/>
        <v>447</v>
      </c>
      <c r="AH346" s="12">
        <f t="shared" si="118"/>
        <v>0</v>
      </c>
      <c r="AI346" s="12">
        <f t="shared" si="119"/>
        <v>0.26238576238576239</v>
      </c>
      <c r="AJ346" s="12">
        <f t="shared" si="120"/>
        <v>0.43001443001443002</v>
      </c>
      <c r="AK346" s="12">
        <f t="shared" si="121"/>
        <v>0</v>
      </c>
      <c r="AL346" s="12">
        <f t="shared" si="122"/>
        <v>0.69240019240019235</v>
      </c>
      <c r="AM346" s="13">
        <v>0</v>
      </c>
      <c r="AN346" s="13">
        <v>380</v>
      </c>
      <c r="AO346" s="13">
        <v>0</v>
      </c>
      <c r="AP346" s="13">
        <v>0</v>
      </c>
      <c r="AQ346" s="12">
        <v>4399</v>
      </c>
      <c r="AR346" s="13">
        <v>1099.75</v>
      </c>
      <c r="AS346" s="17" t="s">
        <v>147</v>
      </c>
    </row>
    <row r="347" spans="1:47" x14ac:dyDescent="0.25">
      <c r="A347" s="22">
        <v>45955</v>
      </c>
      <c r="B347" s="10" t="str">
        <f t="shared" si="114"/>
        <v>2025</v>
      </c>
      <c r="C347" s="10" t="str">
        <f t="shared" si="115"/>
        <v>October</v>
      </c>
      <c r="D347" s="10"/>
      <c r="E347" s="11"/>
      <c r="F347" s="12"/>
      <c r="G347" s="13"/>
      <c r="H347" s="14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14"/>
      <c r="V347" s="14"/>
      <c r="W347" s="6"/>
      <c r="X347" s="6"/>
      <c r="Y347" s="15"/>
      <c r="Z347" s="16">
        <v>0</v>
      </c>
      <c r="AA347" s="16"/>
      <c r="AB347" s="16"/>
      <c r="AC347" s="13"/>
      <c r="AD347" s="13"/>
      <c r="AE347" s="13"/>
      <c r="AF347" s="12"/>
      <c r="AG347" s="12"/>
      <c r="AH347" s="12"/>
      <c r="AI347" s="12"/>
      <c r="AJ347" s="12"/>
      <c r="AK347" s="12"/>
      <c r="AL347" s="12"/>
      <c r="AM347" s="13"/>
      <c r="AN347" s="13"/>
      <c r="AO347" s="13"/>
      <c r="AP347" s="13"/>
      <c r="AQ347" s="12"/>
      <c r="AR347" s="13"/>
      <c r="AS347" s="17"/>
    </row>
    <row r="348" spans="1:47" x14ac:dyDescent="0.25">
      <c r="A348" s="87">
        <v>46028</v>
      </c>
      <c r="B348" s="10" t="str">
        <f t="shared" si="114"/>
        <v>2026</v>
      </c>
      <c r="C348" s="10" t="str">
        <f t="shared" si="115"/>
        <v>January</v>
      </c>
      <c r="D348" s="84" t="s">
        <v>325</v>
      </c>
      <c r="E348" s="90">
        <v>557</v>
      </c>
      <c r="F348" s="12">
        <f t="shared" ref="F348:F350" si="123">E348*12</f>
        <v>6684</v>
      </c>
      <c r="G348" s="12">
        <f t="shared" ref="G348:G379" si="124">IF(X348="","",IF(X348=0,"",F348/X348))</f>
        <v>682.0408163265306</v>
      </c>
      <c r="H348" s="88" t="s">
        <v>31</v>
      </c>
      <c r="I348" s="89">
        <v>0</v>
      </c>
      <c r="J348" s="85">
        <v>57</v>
      </c>
      <c r="K348" s="85"/>
      <c r="L348" s="6">
        <f t="shared" ref="L348:L411" si="125">M348+N348</f>
        <v>5950</v>
      </c>
      <c r="M348" s="85">
        <v>2441</v>
      </c>
      <c r="N348" s="85">
        <v>3509</v>
      </c>
      <c r="O348" s="85"/>
      <c r="P348" s="85">
        <v>3724</v>
      </c>
      <c r="Q348" s="85">
        <v>0</v>
      </c>
      <c r="R348" s="85">
        <v>0</v>
      </c>
      <c r="S348" s="85">
        <v>0</v>
      </c>
      <c r="T348" s="85">
        <v>0</v>
      </c>
      <c r="U348" s="88" t="s">
        <v>326</v>
      </c>
      <c r="V348" s="88" t="s">
        <v>133</v>
      </c>
      <c r="W348" s="85">
        <v>11</v>
      </c>
      <c r="X348" s="85">
        <v>9.8000000000000007</v>
      </c>
      <c r="Y348" s="15">
        <f>SUM(X348)/(W348*Y$2)</f>
        <v>6.2363636363636372</v>
      </c>
      <c r="Z348" s="16">
        <f t="shared" ref="Z348:Z411" si="126">X348/W348</f>
        <v>0.89090909090909098</v>
      </c>
      <c r="AA348" s="12">
        <f t="shared" ref="AA348:AA411" si="127">IF(X348="","",IF(X348=0,"",K348/X348))</f>
        <v>0</v>
      </c>
      <c r="AB348" s="12">
        <f t="shared" ref="AB348:AB379" si="128">IF(X348="","",IF(X348=0,"",K348/F348))</f>
        <v>0</v>
      </c>
      <c r="AC348" s="13">
        <f>Q348/X348</f>
        <v>0</v>
      </c>
      <c r="AD348" s="13">
        <f t="shared" ref="AD348:AD379" si="129">I348/X348</f>
        <v>0</v>
      </c>
      <c r="AE348" s="13">
        <f t="shared" ref="AE348:AE411" si="130">L348/X348</f>
        <v>607.14285714285711</v>
      </c>
      <c r="AF348" s="12">
        <f t="shared" si="116"/>
        <v>249.08163265306121</v>
      </c>
      <c r="AG348" s="12">
        <f t="shared" si="117"/>
        <v>358.0612244897959</v>
      </c>
      <c r="AH348" s="12">
        <f t="shared" si="118"/>
        <v>0</v>
      </c>
      <c r="AI348" s="12">
        <f t="shared" ref="AI348:AI379" si="131">IF(X348="","",IF(X348=0,"",M348/F348))</f>
        <v>0.36520047875523637</v>
      </c>
      <c r="AJ348" s="12">
        <f t="shared" ref="AJ348:AJ379" si="132">IF(X348="","",IF(X348=0,"",N348/F348))</f>
        <v>0.52498503889886294</v>
      </c>
      <c r="AK348" s="12">
        <f t="shared" ref="AK348:AK379" si="133">IF(X348="","",IF(X348=0,"",O348/F348))</f>
        <v>0</v>
      </c>
      <c r="AL348" s="12">
        <f t="shared" si="122"/>
        <v>0.89018551765409937</v>
      </c>
      <c r="AM348" s="13">
        <f t="shared" ref="AM348:AM411" si="134">R348/X348</f>
        <v>0</v>
      </c>
      <c r="AN348" s="13">
        <f t="shared" ref="AN348:AN411" si="135">P348/X348</f>
        <v>380</v>
      </c>
      <c r="AO348" s="13">
        <f t="shared" ref="AO348:AO411" si="136">S348/X348</f>
        <v>0</v>
      </c>
      <c r="AP348" s="13">
        <f t="shared" ref="AP348:AP411" si="137">T348/X348</f>
        <v>0</v>
      </c>
      <c r="AQ348" s="12">
        <f t="shared" ref="AQ348:AQ379" si="138">R348+Q348+P348+L348+I348</f>
        <v>9674</v>
      </c>
      <c r="AR348" s="13">
        <f t="shared" ref="AR348:AR411" si="139">AO348+AN348+AM348+AE348+AD348+AC348</f>
        <v>987.14285714285711</v>
      </c>
      <c r="AS348" s="91" t="s">
        <v>328</v>
      </c>
      <c r="AT348" s="94"/>
      <c r="AU348" s="94"/>
    </row>
    <row r="349" spans="1:47" x14ac:dyDescent="0.25">
      <c r="A349" s="87">
        <v>46029</v>
      </c>
      <c r="B349" s="10" t="str">
        <f t="shared" si="114"/>
        <v>2026</v>
      </c>
      <c r="C349" s="10" t="str">
        <f t="shared" si="115"/>
        <v>January</v>
      </c>
      <c r="D349" s="84" t="s">
        <v>325</v>
      </c>
      <c r="E349" s="90">
        <v>375</v>
      </c>
      <c r="F349" s="12">
        <f t="shared" si="123"/>
        <v>4500</v>
      </c>
      <c r="G349" s="12">
        <f t="shared" si="124"/>
        <v>692.30769230769226</v>
      </c>
      <c r="H349" s="88" t="s">
        <v>31</v>
      </c>
      <c r="I349" s="89">
        <v>0</v>
      </c>
      <c r="J349" s="85">
        <v>57</v>
      </c>
      <c r="K349" s="85"/>
      <c r="L349" s="6">
        <f t="shared" si="125"/>
        <v>4365</v>
      </c>
      <c r="M349" s="85">
        <v>1700</v>
      </c>
      <c r="N349" s="85">
        <v>2665</v>
      </c>
      <c r="O349" s="85"/>
      <c r="P349" s="85">
        <v>2470</v>
      </c>
      <c r="Q349" s="85">
        <v>0</v>
      </c>
      <c r="R349" s="85">
        <v>0</v>
      </c>
      <c r="S349" s="85">
        <v>0</v>
      </c>
      <c r="T349" s="85">
        <v>0</v>
      </c>
      <c r="U349" s="88" t="s">
        <v>326</v>
      </c>
      <c r="V349" s="88" t="s">
        <v>133</v>
      </c>
      <c r="W349" s="85">
        <v>11</v>
      </c>
      <c r="X349" s="85">
        <v>6.5</v>
      </c>
      <c r="Y349" s="15">
        <f t="shared" ref="Y349:Y412" si="140">SUM(X349)/(W349*Y$2)</f>
        <v>4.1363636363636367</v>
      </c>
      <c r="Z349" s="16">
        <f t="shared" si="126"/>
        <v>0.59090909090909094</v>
      </c>
      <c r="AA349" s="12">
        <f t="shared" si="127"/>
        <v>0</v>
      </c>
      <c r="AB349" s="12">
        <f t="shared" si="128"/>
        <v>0</v>
      </c>
      <c r="AC349" s="13">
        <f t="shared" ref="AC349:AC412" si="141">Q349/X349</f>
        <v>0</v>
      </c>
      <c r="AD349" s="13">
        <f t="shared" si="129"/>
        <v>0</v>
      </c>
      <c r="AE349" s="13">
        <f t="shared" si="130"/>
        <v>671.53846153846155</v>
      </c>
      <c r="AF349" s="12">
        <f t="shared" si="116"/>
        <v>261.53846153846155</v>
      </c>
      <c r="AG349" s="12">
        <f t="shared" si="117"/>
        <v>410</v>
      </c>
      <c r="AH349" s="12">
        <f t="shared" si="118"/>
        <v>0</v>
      </c>
      <c r="AI349" s="12">
        <f t="shared" si="131"/>
        <v>0.37777777777777777</v>
      </c>
      <c r="AJ349" s="12">
        <f t="shared" si="132"/>
        <v>0.59222222222222221</v>
      </c>
      <c r="AK349" s="12">
        <f t="shared" si="133"/>
        <v>0</v>
      </c>
      <c r="AL349" s="12">
        <f t="shared" si="122"/>
        <v>0.97</v>
      </c>
      <c r="AM349" s="13">
        <f t="shared" si="134"/>
        <v>0</v>
      </c>
      <c r="AN349" s="13">
        <f t="shared" si="135"/>
        <v>380</v>
      </c>
      <c r="AO349" s="13">
        <f t="shared" si="136"/>
        <v>0</v>
      </c>
      <c r="AP349" s="13">
        <f t="shared" si="137"/>
        <v>0</v>
      </c>
      <c r="AQ349" s="12">
        <f t="shared" si="138"/>
        <v>6835</v>
      </c>
      <c r="AR349" s="13">
        <f t="shared" si="139"/>
        <v>1051.5384615384614</v>
      </c>
      <c r="AS349" s="91" t="s">
        <v>329</v>
      </c>
      <c r="AT349" s="94"/>
      <c r="AU349" s="94"/>
    </row>
    <row r="350" spans="1:47" x14ac:dyDescent="0.25">
      <c r="A350" s="87">
        <v>46030</v>
      </c>
      <c r="B350" s="10" t="str">
        <f t="shared" si="114"/>
        <v>2026</v>
      </c>
      <c r="C350" s="10" t="str">
        <f t="shared" si="115"/>
        <v>January</v>
      </c>
      <c r="D350" s="84" t="s">
        <v>325</v>
      </c>
      <c r="E350" s="90">
        <v>349</v>
      </c>
      <c r="F350" s="12">
        <f t="shared" si="123"/>
        <v>4188</v>
      </c>
      <c r="G350" s="12">
        <f t="shared" si="124"/>
        <v>654.375</v>
      </c>
      <c r="H350" s="88" t="s">
        <v>31</v>
      </c>
      <c r="I350" s="89">
        <v>0</v>
      </c>
      <c r="J350" s="85">
        <v>57</v>
      </c>
      <c r="K350" s="85"/>
      <c r="L350" s="6">
        <f t="shared" si="125"/>
        <v>5628</v>
      </c>
      <c r="M350" s="85">
        <v>2310</v>
      </c>
      <c r="N350" s="85">
        <v>3318</v>
      </c>
      <c r="O350" s="85"/>
      <c r="P350" s="85">
        <v>2432</v>
      </c>
      <c r="Q350" s="85">
        <v>0</v>
      </c>
      <c r="R350" s="85">
        <v>0</v>
      </c>
      <c r="S350" s="85">
        <v>0</v>
      </c>
      <c r="T350" s="85">
        <v>0</v>
      </c>
      <c r="U350" s="88" t="s">
        <v>326</v>
      </c>
      <c r="V350" s="88" t="s">
        <v>133</v>
      </c>
      <c r="W350" s="85">
        <v>11</v>
      </c>
      <c r="X350" s="85">
        <v>6.4</v>
      </c>
      <c r="Y350" s="15">
        <f t="shared" si="140"/>
        <v>4.0727272727272732</v>
      </c>
      <c r="Z350" s="16">
        <f t="shared" si="126"/>
        <v>0.5818181818181819</v>
      </c>
      <c r="AA350" s="12">
        <f t="shared" si="127"/>
        <v>0</v>
      </c>
      <c r="AB350" s="12">
        <f t="shared" si="128"/>
        <v>0</v>
      </c>
      <c r="AC350" s="13">
        <f t="shared" si="141"/>
        <v>0</v>
      </c>
      <c r="AD350" s="13">
        <f t="shared" si="129"/>
        <v>0</v>
      </c>
      <c r="AE350" s="13">
        <f t="shared" si="130"/>
        <v>879.375</v>
      </c>
      <c r="AF350" s="12">
        <f t="shared" si="116"/>
        <v>360.9375</v>
      </c>
      <c r="AG350" s="12">
        <f t="shared" si="117"/>
        <v>518.4375</v>
      </c>
      <c r="AH350" s="12">
        <f t="shared" si="118"/>
        <v>0</v>
      </c>
      <c r="AI350" s="12">
        <f t="shared" si="131"/>
        <v>0.5515759312320917</v>
      </c>
      <c r="AJ350" s="12">
        <f t="shared" si="132"/>
        <v>0.79226361031518622</v>
      </c>
      <c r="AK350" s="12">
        <f t="shared" si="133"/>
        <v>0</v>
      </c>
      <c r="AL350" s="12">
        <f t="shared" si="122"/>
        <v>1.3438395415472779</v>
      </c>
      <c r="AM350" s="13">
        <f t="shared" si="134"/>
        <v>0</v>
      </c>
      <c r="AN350" s="13">
        <f t="shared" si="135"/>
        <v>380</v>
      </c>
      <c r="AO350" s="13">
        <f t="shared" si="136"/>
        <v>0</v>
      </c>
      <c r="AP350" s="13">
        <f t="shared" si="137"/>
        <v>0</v>
      </c>
      <c r="AQ350" s="12">
        <f t="shared" si="138"/>
        <v>8060</v>
      </c>
      <c r="AR350" s="13">
        <f t="shared" si="139"/>
        <v>1259.375</v>
      </c>
      <c r="AS350" s="91" t="s">
        <v>330</v>
      </c>
      <c r="AT350" s="94"/>
      <c r="AU350" s="94"/>
    </row>
    <row r="351" spans="1:47" x14ac:dyDescent="0.25">
      <c r="A351" s="87">
        <v>46031</v>
      </c>
      <c r="B351" s="10" t="str">
        <f t="shared" si="114"/>
        <v>2026</v>
      </c>
      <c r="C351" s="10" t="str">
        <f t="shared" si="115"/>
        <v>January</v>
      </c>
      <c r="D351" s="84" t="s">
        <v>325</v>
      </c>
      <c r="E351" s="90">
        <v>592</v>
      </c>
      <c r="F351" s="12">
        <f>E351*12</f>
        <v>7104</v>
      </c>
      <c r="G351" s="12">
        <f t="shared" si="124"/>
        <v>772.17391304347836</v>
      </c>
      <c r="H351" s="88" t="s">
        <v>31</v>
      </c>
      <c r="I351" s="89">
        <v>0</v>
      </c>
      <c r="J351" s="85">
        <v>57</v>
      </c>
      <c r="K351" s="85"/>
      <c r="L351" s="6">
        <f t="shared" si="125"/>
        <v>6248</v>
      </c>
      <c r="M351" s="85">
        <v>2677</v>
      </c>
      <c r="N351" s="85">
        <v>3571</v>
      </c>
      <c r="O351" s="85"/>
      <c r="P351" s="85">
        <v>3496</v>
      </c>
      <c r="Q351" s="85">
        <v>0</v>
      </c>
      <c r="R351" s="85">
        <v>0</v>
      </c>
      <c r="S351" s="85">
        <v>0</v>
      </c>
      <c r="T351" s="85">
        <v>0</v>
      </c>
      <c r="U351" s="88" t="s">
        <v>326</v>
      </c>
      <c r="V351" s="88" t="s">
        <v>133</v>
      </c>
      <c r="W351" s="85">
        <v>11</v>
      </c>
      <c r="X351" s="85">
        <v>9.1999999999999993</v>
      </c>
      <c r="Y351" s="15">
        <f t="shared" si="140"/>
        <v>5.8545454545454545</v>
      </c>
      <c r="Z351" s="16">
        <f t="shared" si="126"/>
        <v>0.83636363636363631</v>
      </c>
      <c r="AA351" s="12">
        <f t="shared" si="127"/>
        <v>0</v>
      </c>
      <c r="AB351" s="12">
        <f t="shared" si="128"/>
        <v>0</v>
      </c>
      <c r="AC351" s="13">
        <f t="shared" si="141"/>
        <v>0</v>
      </c>
      <c r="AD351" s="13">
        <f t="shared" si="129"/>
        <v>0</v>
      </c>
      <c r="AE351" s="13">
        <f t="shared" si="130"/>
        <v>679.13043478260875</v>
      </c>
      <c r="AF351" s="12">
        <f t="shared" si="116"/>
        <v>290.97826086956525</v>
      </c>
      <c r="AG351" s="12">
        <f t="shared" si="117"/>
        <v>388.1521739130435</v>
      </c>
      <c r="AH351" s="12">
        <f t="shared" si="118"/>
        <v>0</v>
      </c>
      <c r="AI351" s="12">
        <f t="shared" si="131"/>
        <v>0.37682995495495497</v>
      </c>
      <c r="AJ351" s="12">
        <f t="shared" si="132"/>
        <v>0.5026745495495496</v>
      </c>
      <c r="AK351" s="12">
        <f t="shared" si="133"/>
        <v>0</v>
      </c>
      <c r="AL351" s="12">
        <f t="shared" si="122"/>
        <v>0.87950450450450457</v>
      </c>
      <c r="AM351" s="13">
        <f t="shared" si="134"/>
        <v>0</v>
      </c>
      <c r="AN351" s="13">
        <f t="shared" si="135"/>
        <v>380.00000000000006</v>
      </c>
      <c r="AO351" s="13">
        <f t="shared" si="136"/>
        <v>0</v>
      </c>
      <c r="AP351" s="13">
        <f t="shared" si="137"/>
        <v>0</v>
      </c>
      <c r="AQ351" s="12">
        <f t="shared" si="138"/>
        <v>9744</v>
      </c>
      <c r="AR351" s="13">
        <f t="shared" si="139"/>
        <v>1059.1304347826087</v>
      </c>
      <c r="AS351" s="91" t="s">
        <v>331</v>
      </c>
      <c r="AT351" s="94"/>
      <c r="AU351" s="94"/>
    </row>
    <row r="352" spans="1:47" x14ac:dyDescent="0.25">
      <c r="A352" s="87">
        <v>46034</v>
      </c>
      <c r="B352" s="10" t="str">
        <f t="shared" si="114"/>
        <v>2026</v>
      </c>
      <c r="C352" s="10" t="str">
        <f t="shared" si="115"/>
        <v>January</v>
      </c>
      <c r="D352" s="84" t="s">
        <v>325</v>
      </c>
      <c r="E352" s="90">
        <v>385</v>
      </c>
      <c r="F352" s="12">
        <f t="shared" ref="F352" si="142">E352*12</f>
        <v>4620</v>
      </c>
      <c r="G352" s="12">
        <f t="shared" si="124"/>
        <v>840</v>
      </c>
      <c r="H352" s="88" t="s">
        <v>31</v>
      </c>
      <c r="I352" s="89">
        <v>0</v>
      </c>
      <c r="J352" s="85">
        <v>57</v>
      </c>
      <c r="K352" s="85"/>
      <c r="L352" s="6">
        <f t="shared" si="125"/>
        <v>3503</v>
      </c>
      <c r="M352" s="85">
        <v>1428</v>
      </c>
      <c r="N352" s="85">
        <v>2075</v>
      </c>
      <c r="O352" s="85"/>
      <c r="P352" s="85">
        <v>2090</v>
      </c>
      <c r="Q352" s="85">
        <v>0</v>
      </c>
      <c r="R352" s="85">
        <v>0</v>
      </c>
      <c r="S352" s="85">
        <v>0</v>
      </c>
      <c r="T352" s="85">
        <v>0</v>
      </c>
      <c r="U352" s="88" t="s">
        <v>326</v>
      </c>
      <c r="V352" s="88" t="s">
        <v>133</v>
      </c>
      <c r="W352" s="85">
        <v>11</v>
      </c>
      <c r="X352" s="85">
        <v>5.5</v>
      </c>
      <c r="Y352" s="15">
        <f t="shared" si="140"/>
        <v>3.5</v>
      </c>
      <c r="Z352" s="16">
        <f t="shared" si="126"/>
        <v>0.5</v>
      </c>
      <c r="AA352" s="12">
        <f t="shared" si="127"/>
        <v>0</v>
      </c>
      <c r="AB352" s="12">
        <f t="shared" si="128"/>
        <v>0</v>
      </c>
      <c r="AC352" s="13">
        <f t="shared" si="141"/>
        <v>0</v>
      </c>
      <c r="AD352" s="13">
        <f t="shared" si="129"/>
        <v>0</v>
      </c>
      <c r="AE352" s="13">
        <f t="shared" si="130"/>
        <v>636.90909090909088</v>
      </c>
      <c r="AF352" s="12">
        <f t="shared" si="116"/>
        <v>259.63636363636363</v>
      </c>
      <c r="AG352" s="12">
        <f t="shared" si="117"/>
        <v>377.27272727272725</v>
      </c>
      <c r="AH352" s="12">
        <f t="shared" si="118"/>
        <v>0</v>
      </c>
      <c r="AI352" s="12">
        <f t="shared" si="131"/>
        <v>0.30909090909090908</v>
      </c>
      <c r="AJ352" s="12">
        <f t="shared" si="132"/>
        <v>0.44913419913419911</v>
      </c>
      <c r="AK352" s="12">
        <f t="shared" si="133"/>
        <v>0</v>
      </c>
      <c r="AL352" s="12">
        <f t="shared" si="122"/>
        <v>0.75822510822510814</v>
      </c>
      <c r="AM352" s="13">
        <f t="shared" si="134"/>
        <v>0</v>
      </c>
      <c r="AN352" s="13">
        <f t="shared" si="135"/>
        <v>380</v>
      </c>
      <c r="AO352" s="13">
        <f t="shared" si="136"/>
        <v>0</v>
      </c>
      <c r="AP352" s="13">
        <f t="shared" si="137"/>
        <v>0</v>
      </c>
      <c r="AQ352" s="12">
        <f t="shared" si="138"/>
        <v>5593</v>
      </c>
      <c r="AR352" s="13">
        <f t="shared" si="139"/>
        <v>1016.9090909090909</v>
      </c>
      <c r="AS352" s="91" t="s">
        <v>332</v>
      </c>
      <c r="AT352" s="94"/>
      <c r="AU352" s="94"/>
    </row>
    <row r="353" spans="1:47" x14ac:dyDescent="0.25">
      <c r="A353" s="87">
        <v>46035</v>
      </c>
      <c r="B353" s="10" t="str">
        <f t="shared" si="114"/>
        <v>2026</v>
      </c>
      <c r="C353" s="10" t="str">
        <f t="shared" si="115"/>
        <v>January</v>
      </c>
      <c r="D353" s="84" t="s">
        <v>325</v>
      </c>
      <c r="E353" s="90">
        <v>654</v>
      </c>
      <c r="F353" s="12">
        <f>E353*13.5</f>
        <v>8829</v>
      </c>
      <c r="G353" s="12">
        <f t="shared" si="124"/>
        <v>832.92452830188677</v>
      </c>
      <c r="H353" s="88" t="s">
        <v>31</v>
      </c>
      <c r="I353" s="89">
        <v>0</v>
      </c>
      <c r="J353" s="85">
        <v>57</v>
      </c>
      <c r="K353" s="85"/>
      <c r="L353" s="6">
        <f t="shared" si="125"/>
        <v>7305</v>
      </c>
      <c r="M353" s="85">
        <v>3068</v>
      </c>
      <c r="N353" s="85">
        <v>4237</v>
      </c>
      <c r="O353" s="85"/>
      <c r="P353" s="85">
        <v>4028</v>
      </c>
      <c r="Q353" s="85">
        <v>0</v>
      </c>
      <c r="R353" s="85">
        <v>0</v>
      </c>
      <c r="S353" s="85">
        <v>0</v>
      </c>
      <c r="T353" s="85">
        <v>0</v>
      </c>
      <c r="U353" s="88" t="s">
        <v>326</v>
      </c>
      <c r="V353" s="88" t="s">
        <v>133</v>
      </c>
      <c r="W353" s="85">
        <v>11</v>
      </c>
      <c r="X353" s="85">
        <v>10.6</v>
      </c>
      <c r="Y353" s="15">
        <f t="shared" si="140"/>
        <v>6.7454545454545451</v>
      </c>
      <c r="Z353" s="16">
        <f t="shared" si="126"/>
        <v>0.96363636363636362</v>
      </c>
      <c r="AA353" s="12">
        <f t="shared" si="127"/>
        <v>0</v>
      </c>
      <c r="AB353" s="12">
        <f t="shared" si="128"/>
        <v>0</v>
      </c>
      <c r="AC353" s="13">
        <f t="shared" si="141"/>
        <v>0</v>
      </c>
      <c r="AD353" s="13">
        <f t="shared" si="129"/>
        <v>0</v>
      </c>
      <c r="AE353" s="13">
        <f t="shared" si="130"/>
        <v>689.15094339622647</v>
      </c>
      <c r="AF353" s="12">
        <f t="shared" si="116"/>
        <v>289.43396226415098</v>
      </c>
      <c r="AG353" s="12">
        <f t="shared" si="117"/>
        <v>399.71698113207549</v>
      </c>
      <c r="AH353" s="12">
        <f t="shared" si="118"/>
        <v>0</v>
      </c>
      <c r="AI353" s="12">
        <f t="shared" si="131"/>
        <v>0.34749122210895911</v>
      </c>
      <c r="AJ353" s="12">
        <f t="shared" si="132"/>
        <v>0.47989579793861137</v>
      </c>
      <c r="AK353" s="12">
        <f t="shared" si="133"/>
        <v>0</v>
      </c>
      <c r="AL353" s="12">
        <f t="shared" si="122"/>
        <v>0.82738702004757048</v>
      </c>
      <c r="AM353" s="13">
        <f t="shared" si="134"/>
        <v>0</v>
      </c>
      <c r="AN353" s="13">
        <f t="shared" si="135"/>
        <v>380</v>
      </c>
      <c r="AO353" s="13">
        <f t="shared" si="136"/>
        <v>0</v>
      </c>
      <c r="AP353" s="13">
        <f t="shared" si="137"/>
        <v>0</v>
      </c>
      <c r="AQ353" s="12">
        <f t="shared" si="138"/>
        <v>11333</v>
      </c>
      <c r="AR353" s="18">
        <f t="shared" si="139"/>
        <v>1069.1509433962265</v>
      </c>
      <c r="AS353" s="91" t="s">
        <v>333</v>
      </c>
      <c r="AT353" s="95"/>
      <c r="AU353" s="95"/>
    </row>
    <row r="354" spans="1:47" x14ac:dyDescent="0.25">
      <c r="A354" s="87">
        <v>46036</v>
      </c>
      <c r="B354" s="10" t="str">
        <f t="shared" si="114"/>
        <v>2026</v>
      </c>
      <c r="C354" s="10" t="str">
        <f t="shared" si="115"/>
        <v>January</v>
      </c>
      <c r="D354" s="84" t="s">
        <v>325</v>
      </c>
      <c r="E354" s="90">
        <v>742</v>
      </c>
      <c r="F354" s="12">
        <f>E354*13.5</f>
        <v>10017</v>
      </c>
      <c r="G354" s="12">
        <f t="shared" si="124"/>
        <v>936.16822429906551</v>
      </c>
      <c r="H354" s="88" t="s">
        <v>31</v>
      </c>
      <c r="I354" s="89">
        <v>0</v>
      </c>
      <c r="J354" s="85">
        <v>57</v>
      </c>
      <c r="K354" s="85"/>
      <c r="L354" s="6">
        <f t="shared" si="125"/>
        <v>7879</v>
      </c>
      <c r="M354" s="85">
        <v>3457</v>
      </c>
      <c r="N354" s="85">
        <v>4422</v>
      </c>
      <c r="O354" s="85"/>
      <c r="P354" s="85">
        <v>4085</v>
      </c>
      <c r="Q354" s="85">
        <v>0</v>
      </c>
      <c r="R354" s="85">
        <v>0</v>
      </c>
      <c r="S354" s="85">
        <v>0</v>
      </c>
      <c r="T354" s="85">
        <v>0</v>
      </c>
      <c r="U354" s="88" t="s">
        <v>326</v>
      </c>
      <c r="V354" s="88" t="s">
        <v>133</v>
      </c>
      <c r="W354" s="85">
        <v>11</v>
      </c>
      <c r="X354" s="85">
        <v>10.7</v>
      </c>
      <c r="Y354" s="15">
        <f t="shared" si="140"/>
        <v>6.8090909090909086</v>
      </c>
      <c r="Z354" s="16">
        <f t="shared" si="126"/>
        <v>0.97272727272727266</v>
      </c>
      <c r="AA354" s="12">
        <f t="shared" si="127"/>
        <v>0</v>
      </c>
      <c r="AB354" s="12">
        <f t="shared" si="128"/>
        <v>0</v>
      </c>
      <c r="AC354" s="13">
        <f t="shared" si="141"/>
        <v>0</v>
      </c>
      <c r="AD354" s="13">
        <f t="shared" si="129"/>
        <v>0</v>
      </c>
      <c r="AE354" s="13">
        <f t="shared" si="130"/>
        <v>736.35514018691595</v>
      </c>
      <c r="AF354" s="12">
        <f t="shared" si="116"/>
        <v>323.08411214953276</v>
      </c>
      <c r="AG354" s="12">
        <f t="shared" si="117"/>
        <v>413.27102803738319</v>
      </c>
      <c r="AH354" s="12">
        <f t="shared" si="118"/>
        <v>0</v>
      </c>
      <c r="AI354" s="12">
        <f t="shared" si="131"/>
        <v>0.34511330737745832</v>
      </c>
      <c r="AJ354" s="12">
        <f t="shared" si="132"/>
        <v>0.44144953578915841</v>
      </c>
      <c r="AK354" s="12">
        <f t="shared" si="133"/>
        <v>0</v>
      </c>
      <c r="AL354" s="12">
        <f t="shared" si="122"/>
        <v>0.78656284316661673</v>
      </c>
      <c r="AM354" s="13">
        <f t="shared" si="134"/>
        <v>0</v>
      </c>
      <c r="AN354" s="13">
        <f t="shared" si="135"/>
        <v>381.77570093457945</v>
      </c>
      <c r="AO354" s="13">
        <f t="shared" si="136"/>
        <v>0</v>
      </c>
      <c r="AP354" s="13">
        <f t="shared" si="137"/>
        <v>0</v>
      </c>
      <c r="AQ354" s="12">
        <f t="shared" si="138"/>
        <v>11964</v>
      </c>
      <c r="AR354" s="13">
        <f t="shared" si="139"/>
        <v>1118.1308411214955</v>
      </c>
      <c r="AS354" s="92"/>
      <c r="AT354" s="96"/>
      <c r="AU354" s="96"/>
    </row>
    <row r="355" spans="1:47" x14ac:dyDescent="0.25">
      <c r="A355" s="87">
        <v>46037</v>
      </c>
      <c r="B355" s="10" t="str">
        <f t="shared" si="114"/>
        <v>2026</v>
      </c>
      <c r="C355" s="10" t="str">
        <f t="shared" si="115"/>
        <v>January</v>
      </c>
      <c r="D355" s="84" t="s">
        <v>325</v>
      </c>
      <c r="E355" s="90">
        <v>561</v>
      </c>
      <c r="F355" s="12">
        <f t="shared" ref="F355:F418" si="143">E355*13.5</f>
        <v>7573.5</v>
      </c>
      <c r="G355" s="12">
        <f t="shared" si="124"/>
        <v>1081.9285714285713</v>
      </c>
      <c r="H355" s="88" t="s">
        <v>31</v>
      </c>
      <c r="I355" s="89">
        <v>0</v>
      </c>
      <c r="J355" s="85">
        <v>57</v>
      </c>
      <c r="K355" s="85"/>
      <c r="L355" s="6">
        <f t="shared" si="125"/>
        <v>5360</v>
      </c>
      <c r="M355" s="85">
        <v>2453</v>
      </c>
      <c r="N355" s="85">
        <v>2907</v>
      </c>
      <c r="O355" s="85"/>
      <c r="P355" s="85">
        <v>2660</v>
      </c>
      <c r="Q355" s="85">
        <v>0</v>
      </c>
      <c r="R355" s="85">
        <v>0</v>
      </c>
      <c r="S355" s="85">
        <v>0</v>
      </c>
      <c r="T355" s="85">
        <v>0</v>
      </c>
      <c r="U355" s="88" t="s">
        <v>326</v>
      </c>
      <c r="V355" s="88" t="s">
        <v>133</v>
      </c>
      <c r="W355" s="85">
        <v>7.5</v>
      </c>
      <c r="X355" s="85">
        <v>7</v>
      </c>
      <c r="Y355" s="15">
        <f t="shared" si="140"/>
        <v>6.5333333333333332</v>
      </c>
      <c r="Z355" s="16">
        <f t="shared" si="126"/>
        <v>0.93333333333333335</v>
      </c>
      <c r="AA355" s="12">
        <f t="shared" si="127"/>
        <v>0</v>
      </c>
      <c r="AB355" s="12">
        <f t="shared" si="128"/>
        <v>0</v>
      </c>
      <c r="AC355" s="13">
        <f t="shared" si="141"/>
        <v>0</v>
      </c>
      <c r="AD355" s="13">
        <f t="shared" si="129"/>
        <v>0</v>
      </c>
      <c r="AE355" s="13">
        <f t="shared" si="130"/>
        <v>765.71428571428567</v>
      </c>
      <c r="AF355" s="12">
        <f t="shared" si="116"/>
        <v>350.42857142857144</v>
      </c>
      <c r="AG355" s="12">
        <f t="shared" si="117"/>
        <v>415.28571428571428</v>
      </c>
      <c r="AH355" s="12">
        <f t="shared" si="118"/>
        <v>0</v>
      </c>
      <c r="AI355" s="12">
        <f t="shared" si="131"/>
        <v>0.32389251997095136</v>
      </c>
      <c r="AJ355" s="12">
        <f t="shared" si="132"/>
        <v>0.38383838383838381</v>
      </c>
      <c r="AK355" s="12">
        <f t="shared" si="133"/>
        <v>0</v>
      </c>
      <c r="AL355" s="12">
        <f t="shared" si="122"/>
        <v>0.70773090380933512</v>
      </c>
      <c r="AM355" s="13">
        <f t="shared" si="134"/>
        <v>0</v>
      </c>
      <c r="AN355" s="13">
        <f t="shared" si="135"/>
        <v>380</v>
      </c>
      <c r="AO355" s="13">
        <f t="shared" si="136"/>
        <v>0</v>
      </c>
      <c r="AP355" s="13">
        <f t="shared" si="137"/>
        <v>0</v>
      </c>
      <c r="AQ355" s="12">
        <f t="shared" si="138"/>
        <v>8020</v>
      </c>
      <c r="AR355" s="13">
        <f t="shared" si="139"/>
        <v>1145.7142857142858</v>
      </c>
      <c r="AS355" s="91" t="s">
        <v>334</v>
      </c>
      <c r="AT355" s="94"/>
      <c r="AU355" s="94"/>
    </row>
    <row r="356" spans="1:47" x14ac:dyDescent="0.25">
      <c r="A356" s="87">
        <v>46038</v>
      </c>
      <c r="B356" s="10" t="str">
        <f t="shared" si="114"/>
        <v>2026</v>
      </c>
      <c r="C356" s="10" t="str">
        <f t="shared" si="115"/>
        <v>January</v>
      </c>
      <c r="D356" s="84" t="s">
        <v>325</v>
      </c>
      <c r="E356" s="90"/>
      <c r="F356" s="12">
        <f>E356*13.5</f>
        <v>0</v>
      </c>
      <c r="G356" s="12" t="str">
        <f t="shared" si="124"/>
        <v/>
      </c>
      <c r="H356" s="88"/>
      <c r="I356" s="89">
        <v>0</v>
      </c>
      <c r="J356" s="85"/>
      <c r="K356" s="85"/>
      <c r="L356" s="6">
        <f t="shared" si="125"/>
        <v>0</v>
      </c>
      <c r="M356" s="85"/>
      <c r="N356" s="85"/>
      <c r="O356" s="85"/>
      <c r="P356" s="85"/>
      <c r="Q356" s="85"/>
      <c r="R356" s="85"/>
      <c r="S356" s="85"/>
      <c r="T356" s="85"/>
      <c r="U356" s="88" t="s">
        <v>326</v>
      </c>
      <c r="V356" s="88" t="s">
        <v>335</v>
      </c>
      <c r="W356" s="85"/>
      <c r="X356" s="85">
        <v>0</v>
      </c>
      <c r="Y356" s="15" t="e">
        <f t="shared" si="140"/>
        <v>#DIV/0!</v>
      </c>
      <c r="Z356" s="16">
        <v>0</v>
      </c>
      <c r="AA356" s="12" t="str">
        <f t="shared" si="127"/>
        <v/>
      </c>
      <c r="AB356" s="12" t="str">
        <f t="shared" si="128"/>
        <v/>
      </c>
      <c r="AC356" s="13" t="e">
        <f t="shared" si="141"/>
        <v>#DIV/0!</v>
      </c>
      <c r="AD356" s="13" t="e">
        <f t="shared" si="129"/>
        <v>#DIV/0!</v>
      </c>
      <c r="AE356" s="13"/>
      <c r="AF356" s="12" t="str">
        <f t="shared" si="116"/>
        <v/>
      </c>
      <c r="AG356" s="12" t="str">
        <f t="shared" si="117"/>
        <v/>
      </c>
      <c r="AH356" s="12" t="str">
        <f t="shared" si="118"/>
        <v/>
      </c>
      <c r="AI356" s="12" t="str">
        <f t="shared" si="131"/>
        <v/>
      </c>
      <c r="AJ356" s="12" t="str">
        <f t="shared" si="132"/>
        <v/>
      </c>
      <c r="AK356" s="12" t="str">
        <f t="shared" si="133"/>
        <v/>
      </c>
      <c r="AL356" s="12"/>
      <c r="AM356" s="13" t="e">
        <f t="shared" si="134"/>
        <v>#DIV/0!</v>
      </c>
      <c r="AN356" s="13" t="e">
        <f t="shared" si="135"/>
        <v>#DIV/0!</v>
      </c>
      <c r="AO356" s="13" t="e">
        <f t="shared" si="136"/>
        <v>#DIV/0!</v>
      </c>
      <c r="AP356" s="13" t="e">
        <f t="shared" si="137"/>
        <v>#DIV/0!</v>
      </c>
      <c r="AQ356" s="12">
        <f t="shared" si="138"/>
        <v>0</v>
      </c>
      <c r="AR356" s="13" t="e">
        <f t="shared" si="139"/>
        <v>#DIV/0!</v>
      </c>
      <c r="AS356" s="91" t="s">
        <v>336</v>
      </c>
      <c r="AT356" s="94"/>
      <c r="AU356" s="94"/>
    </row>
    <row r="357" spans="1:47" x14ac:dyDescent="0.25">
      <c r="A357" s="87">
        <v>46041</v>
      </c>
      <c r="B357" s="10" t="str">
        <f t="shared" si="114"/>
        <v>2026</v>
      </c>
      <c r="C357" s="10" t="str">
        <f t="shared" si="115"/>
        <v>January</v>
      </c>
      <c r="D357" s="84" t="s">
        <v>325</v>
      </c>
      <c r="E357" s="90">
        <v>618</v>
      </c>
      <c r="F357" s="12">
        <f t="shared" si="143"/>
        <v>8343</v>
      </c>
      <c r="G357" s="12">
        <f t="shared" si="124"/>
        <v>927</v>
      </c>
      <c r="H357" s="88" t="s">
        <v>31</v>
      </c>
      <c r="I357" s="89">
        <v>0</v>
      </c>
      <c r="J357" s="85">
        <v>57</v>
      </c>
      <c r="K357" s="85"/>
      <c r="L357" s="6">
        <f t="shared" si="125"/>
        <v>5846</v>
      </c>
      <c r="M357" s="85">
        <v>2434</v>
      </c>
      <c r="N357" s="85">
        <v>3412</v>
      </c>
      <c r="O357" s="85"/>
      <c r="P357" s="85">
        <v>3420</v>
      </c>
      <c r="Q357" s="85">
        <v>0</v>
      </c>
      <c r="R357" s="85">
        <v>0</v>
      </c>
      <c r="S357" s="85">
        <v>0</v>
      </c>
      <c r="T357" s="85">
        <v>0</v>
      </c>
      <c r="U357" s="88" t="s">
        <v>326</v>
      </c>
      <c r="V357" s="88" t="s">
        <v>133</v>
      </c>
      <c r="W357" s="85">
        <v>11</v>
      </c>
      <c r="X357" s="85">
        <v>9</v>
      </c>
      <c r="Y357" s="15">
        <f t="shared" si="140"/>
        <v>5.7272727272727275</v>
      </c>
      <c r="Z357" s="16">
        <f t="shared" si="126"/>
        <v>0.81818181818181823</v>
      </c>
      <c r="AA357" s="12">
        <f t="shared" si="127"/>
        <v>0</v>
      </c>
      <c r="AB357" s="12">
        <f t="shared" si="128"/>
        <v>0</v>
      </c>
      <c r="AC357" s="13">
        <f t="shared" si="141"/>
        <v>0</v>
      </c>
      <c r="AD357" s="13">
        <f t="shared" si="129"/>
        <v>0</v>
      </c>
      <c r="AE357" s="13">
        <f t="shared" si="130"/>
        <v>649.55555555555554</v>
      </c>
      <c r="AF357" s="12">
        <f t="shared" si="116"/>
        <v>270.44444444444446</v>
      </c>
      <c r="AG357" s="12">
        <f t="shared" si="117"/>
        <v>379.11111111111109</v>
      </c>
      <c r="AH357" s="12">
        <f t="shared" si="118"/>
        <v>0</v>
      </c>
      <c r="AI357" s="12">
        <f t="shared" si="131"/>
        <v>0.29174157976746973</v>
      </c>
      <c r="AJ357" s="12">
        <f t="shared" si="132"/>
        <v>0.40896559990411124</v>
      </c>
      <c r="AK357" s="12">
        <f t="shared" si="133"/>
        <v>0</v>
      </c>
      <c r="AL357" s="12">
        <f t="shared" si="122"/>
        <v>0.70070717967158092</v>
      </c>
      <c r="AM357" s="13">
        <f t="shared" si="134"/>
        <v>0</v>
      </c>
      <c r="AN357" s="13">
        <f t="shared" si="135"/>
        <v>380</v>
      </c>
      <c r="AO357" s="13">
        <f t="shared" si="136"/>
        <v>0</v>
      </c>
      <c r="AP357" s="13">
        <f t="shared" si="137"/>
        <v>0</v>
      </c>
      <c r="AQ357" s="12">
        <f t="shared" si="138"/>
        <v>9266</v>
      </c>
      <c r="AR357" s="13">
        <f t="shared" si="139"/>
        <v>1029.5555555555557</v>
      </c>
      <c r="AS357" s="91" t="s">
        <v>337</v>
      </c>
      <c r="AT357" s="94"/>
      <c r="AU357" s="94"/>
    </row>
    <row r="358" spans="1:47" x14ac:dyDescent="0.25">
      <c r="A358" s="87">
        <v>46042</v>
      </c>
      <c r="B358" s="10" t="str">
        <f t="shared" si="114"/>
        <v>2026</v>
      </c>
      <c r="C358" s="10" t="str">
        <f t="shared" si="115"/>
        <v>January</v>
      </c>
      <c r="D358" s="84" t="s">
        <v>325</v>
      </c>
      <c r="E358" s="90">
        <v>158</v>
      </c>
      <c r="F358" s="12">
        <f t="shared" si="143"/>
        <v>2133</v>
      </c>
      <c r="G358" s="12">
        <f t="shared" si="124"/>
        <v>927.39130434782612</v>
      </c>
      <c r="H358" s="88" t="s">
        <v>31</v>
      </c>
      <c r="I358" s="89">
        <v>0</v>
      </c>
      <c r="J358" s="85">
        <v>57</v>
      </c>
      <c r="K358" s="85"/>
      <c r="L358" s="6">
        <f t="shared" si="125"/>
        <v>1563</v>
      </c>
      <c r="M358" s="85">
        <v>678</v>
      </c>
      <c r="N358" s="85">
        <v>885</v>
      </c>
      <c r="O358" s="85"/>
      <c r="P358" s="85">
        <v>2121</v>
      </c>
      <c r="Q358" s="85">
        <v>0</v>
      </c>
      <c r="R358" s="85">
        <v>0</v>
      </c>
      <c r="S358" s="85">
        <v>0</v>
      </c>
      <c r="T358" s="85">
        <v>0</v>
      </c>
      <c r="U358" s="88" t="s">
        <v>326</v>
      </c>
      <c r="V358" s="88" t="s">
        <v>133</v>
      </c>
      <c r="W358" s="85">
        <v>7</v>
      </c>
      <c r="X358" s="85">
        <v>2.2999999999999998</v>
      </c>
      <c r="Y358" s="15">
        <f t="shared" si="140"/>
        <v>2.2999999999999998</v>
      </c>
      <c r="Z358" s="16">
        <f t="shared" si="126"/>
        <v>0.32857142857142857</v>
      </c>
      <c r="AA358" s="12">
        <f t="shared" si="127"/>
        <v>0</v>
      </c>
      <c r="AB358" s="12">
        <f t="shared" si="128"/>
        <v>0</v>
      </c>
      <c r="AC358" s="13">
        <f t="shared" si="141"/>
        <v>0</v>
      </c>
      <c r="AD358" s="13">
        <f t="shared" si="129"/>
        <v>0</v>
      </c>
      <c r="AE358" s="13">
        <f t="shared" si="130"/>
        <v>679.56521739130437</v>
      </c>
      <c r="AF358" s="12">
        <f t="shared" si="116"/>
        <v>294.78260869565219</v>
      </c>
      <c r="AG358" s="12">
        <f t="shared" si="117"/>
        <v>384.78260869565219</v>
      </c>
      <c r="AH358" s="12">
        <f t="shared" si="118"/>
        <v>0</v>
      </c>
      <c r="AI358" s="12">
        <f t="shared" si="131"/>
        <v>0.31786216596343181</v>
      </c>
      <c r="AJ358" s="12">
        <f t="shared" si="132"/>
        <v>0.41490857946554149</v>
      </c>
      <c r="AK358" s="12">
        <f t="shared" si="133"/>
        <v>0</v>
      </c>
      <c r="AL358" s="12">
        <f t="shared" si="122"/>
        <v>0.73277074542897336</v>
      </c>
      <c r="AM358" s="13">
        <f t="shared" si="134"/>
        <v>0</v>
      </c>
      <c r="AN358" s="13">
        <f t="shared" si="135"/>
        <v>922.17391304347836</v>
      </c>
      <c r="AO358" s="13">
        <f t="shared" si="136"/>
        <v>0</v>
      </c>
      <c r="AP358" s="13">
        <f t="shared" si="137"/>
        <v>0</v>
      </c>
      <c r="AQ358" s="12">
        <f t="shared" si="138"/>
        <v>3684</v>
      </c>
      <c r="AR358" s="13">
        <f t="shared" si="139"/>
        <v>1601.7391304347827</v>
      </c>
      <c r="AS358" s="91" t="s">
        <v>338</v>
      </c>
      <c r="AT358" s="94"/>
      <c r="AU358" s="94"/>
    </row>
    <row r="359" spans="1:47" x14ac:dyDescent="0.25">
      <c r="A359" s="87">
        <v>46043</v>
      </c>
      <c r="B359" s="10" t="str">
        <f t="shared" si="114"/>
        <v>2026</v>
      </c>
      <c r="C359" s="10" t="str">
        <f t="shared" si="115"/>
        <v>January</v>
      </c>
      <c r="D359" s="84" t="s">
        <v>325</v>
      </c>
      <c r="E359" s="90">
        <v>661</v>
      </c>
      <c r="F359" s="12">
        <f t="shared" si="143"/>
        <v>8923.5</v>
      </c>
      <c r="G359" s="12">
        <f t="shared" si="124"/>
        <v>910.5612244897959</v>
      </c>
      <c r="H359" s="88" t="s">
        <v>31</v>
      </c>
      <c r="I359" s="89">
        <v>0</v>
      </c>
      <c r="J359" s="85">
        <v>57</v>
      </c>
      <c r="K359" s="85"/>
      <c r="L359" s="6">
        <f t="shared" si="125"/>
        <v>6793</v>
      </c>
      <c r="M359" s="85">
        <v>2825</v>
      </c>
      <c r="N359" s="85">
        <v>3968</v>
      </c>
      <c r="O359" s="85"/>
      <c r="P359" s="85">
        <v>3724</v>
      </c>
      <c r="Q359" s="85">
        <v>0</v>
      </c>
      <c r="R359" s="85">
        <v>0</v>
      </c>
      <c r="S359" s="85">
        <v>0</v>
      </c>
      <c r="T359" s="85">
        <v>0</v>
      </c>
      <c r="U359" s="88" t="s">
        <v>326</v>
      </c>
      <c r="V359" s="88" t="s">
        <v>133</v>
      </c>
      <c r="W359" s="85">
        <v>11</v>
      </c>
      <c r="X359" s="85">
        <v>9.8000000000000007</v>
      </c>
      <c r="Y359" s="15">
        <f t="shared" si="140"/>
        <v>6.2363636363636372</v>
      </c>
      <c r="Z359" s="16">
        <f t="shared" si="126"/>
        <v>0.89090909090909098</v>
      </c>
      <c r="AA359" s="12">
        <f t="shared" si="127"/>
        <v>0</v>
      </c>
      <c r="AB359" s="12">
        <f t="shared" si="128"/>
        <v>0</v>
      </c>
      <c r="AC359" s="13">
        <f t="shared" si="141"/>
        <v>0</v>
      </c>
      <c r="AD359" s="13">
        <f t="shared" si="129"/>
        <v>0</v>
      </c>
      <c r="AE359" s="13">
        <f t="shared" si="130"/>
        <v>693.16326530612241</v>
      </c>
      <c r="AF359" s="12">
        <f t="shared" si="116"/>
        <v>288.26530612244898</v>
      </c>
      <c r="AG359" s="12">
        <f t="shared" si="117"/>
        <v>404.89795918367344</v>
      </c>
      <c r="AH359" s="12">
        <f t="shared" si="118"/>
        <v>0</v>
      </c>
      <c r="AI359" s="12">
        <f t="shared" si="131"/>
        <v>0.31657981733624702</v>
      </c>
      <c r="AJ359" s="12">
        <f t="shared" si="132"/>
        <v>0.44466857174875329</v>
      </c>
      <c r="AK359" s="12">
        <f t="shared" si="133"/>
        <v>0</v>
      </c>
      <c r="AL359" s="12">
        <f t="shared" si="122"/>
        <v>0.76124838908500037</v>
      </c>
      <c r="AM359" s="13">
        <f t="shared" si="134"/>
        <v>0</v>
      </c>
      <c r="AN359" s="13">
        <f t="shared" si="135"/>
        <v>380</v>
      </c>
      <c r="AO359" s="13">
        <f t="shared" si="136"/>
        <v>0</v>
      </c>
      <c r="AP359" s="13">
        <f t="shared" si="137"/>
        <v>0</v>
      </c>
      <c r="AQ359" s="12">
        <f t="shared" si="138"/>
        <v>10517</v>
      </c>
      <c r="AR359" s="13">
        <f t="shared" si="139"/>
        <v>1073.1632653061224</v>
      </c>
      <c r="AS359" s="91" t="s">
        <v>339</v>
      </c>
      <c r="AT359" s="94"/>
      <c r="AU359" s="94"/>
    </row>
    <row r="360" spans="1:47" x14ac:dyDescent="0.25">
      <c r="A360" s="87">
        <v>46044</v>
      </c>
      <c r="B360" s="10" t="str">
        <f t="shared" si="114"/>
        <v>2026</v>
      </c>
      <c r="C360" s="10" t="str">
        <f t="shared" si="115"/>
        <v>January</v>
      </c>
      <c r="D360" s="84" t="s">
        <v>325</v>
      </c>
      <c r="E360" s="90">
        <v>438</v>
      </c>
      <c r="F360" s="12">
        <f t="shared" si="143"/>
        <v>5913</v>
      </c>
      <c r="G360" s="12">
        <f t="shared" si="124"/>
        <v>1019.4827586206897</v>
      </c>
      <c r="H360" s="88" t="s">
        <v>31</v>
      </c>
      <c r="I360" s="89">
        <v>0</v>
      </c>
      <c r="J360" s="85">
        <v>57</v>
      </c>
      <c r="K360" s="85"/>
      <c r="L360" s="6">
        <f t="shared" si="125"/>
        <v>4191</v>
      </c>
      <c r="M360" s="85">
        <v>1732</v>
      </c>
      <c r="N360" s="85">
        <v>2459</v>
      </c>
      <c r="O360" s="85"/>
      <c r="P360" s="85">
        <v>2216</v>
      </c>
      <c r="Q360" s="85">
        <v>0</v>
      </c>
      <c r="R360" s="85">
        <v>0</v>
      </c>
      <c r="S360" s="85">
        <v>0</v>
      </c>
      <c r="T360" s="85">
        <v>0</v>
      </c>
      <c r="U360" s="88" t="s">
        <v>326</v>
      </c>
      <c r="V360" s="88" t="s">
        <v>133</v>
      </c>
      <c r="W360" s="85">
        <v>6</v>
      </c>
      <c r="X360" s="85">
        <v>5.8</v>
      </c>
      <c r="Y360" s="15">
        <f t="shared" si="140"/>
        <v>6.7666666666666666</v>
      </c>
      <c r="Z360" s="16">
        <f t="shared" si="126"/>
        <v>0.96666666666666667</v>
      </c>
      <c r="AA360" s="12">
        <f t="shared" si="127"/>
        <v>0</v>
      </c>
      <c r="AB360" s="12">
        <f t="shared" si="128"/>
        <v>0</v>
      </c>
      <c r="AC360" s="13">
        <f t="shared" si="141"/>
        <v>0</v>
      </c>
      <c r="AD360" s="13">
        <f t="shared" si="129"/>
        <v>0</v>
      </c>
      <c r="AE360" s="13">
        <f t="shared" si="130"/>
        <v>722.58620689655174</v>
      </c>
      <c r="AF360" s="12">
        <f t="shared" si="116"/>
        <v>298.62068965517244</v>
      </c>
      <c r="AG360" s="12">
        <f t="shared" si="117"/>
        <v>423.9655172413793</v>
      </c>
      <c r="AH360" s="12">
        <f t="shared" si="118"/>
        <v>0</v>
      </c>
      <c r="AI360" s="12">
        <f t="shared" si="131"/>
        <v>0.29291391848469472</v>
      </c>
      <c r="AJ360" s="12">
        <f t="shared" si="132"/>
        <v>0.41586335193641127</v>
      </c>
      <c r="AK360" s="12">
        <f t="shared" si="133"/>
        <v>0</v>
      </c>
      <c r="AL360" s="12">
        <f t="shared" si="122"/>
        <v>0.70877727042110594</v>
      </c>
      <c r="AM360" s="13">
        <f t="shared" si="134"/>
        <v>0</v>
      </c>
      <c r="AN360" s="13">
        <f t="shared" si="135"/>
        <v>382.06896551724139</v>
      </c>
      <c r="AO360" s="13">
        <f t="shared" si="136"/>
        <v>0</v>
      </c>
      <c r="AP360" s="13">
        <f t="shared" si="137"/>
        <v>0</v>
      </c>
      <c r="AQ360" s="12">
        <f t="shared" si="138"/>
        <v>6407</v>
      </c>
      <c r="AR360" s="13">
        <f t="shared" si="139"/>
        <v>1104.655172413793</v>
      </c>
      <c r="AS360" s="91" t="s">
        <v>340</v>
      </c>
      <c r="AT360" s="94"/>
      <c r="AU360" s="94"/>
    </row>
    <row r="361" spans="1:47" x14ac:dyDescent="0.25">
      <c r="A361" s="87">
        <v>46045</v>
      </c>
      <c r="B361" s="10" t="str">
        <f t="shared" si="114"/>
        <v>2026</v>
      </c>
      <c r="C361" s="10" t="str">
        <f t="shared" si="115"/>
        <v>January</v>
      </c>
      <c r="D361" s="84" t="s">
        <v>325</v>
      </c>
      <c r="E361" s="90">
        <v>0</v>
      </c>
      <c r="F361" s="12">
        <f t="shared" si="143"/>
        <v>0</v>
      </c>
      <c r="G361" s="12" t="str">
        <f t="shared" si="124"/>
        <v/>
      </c>
      <c r="H361" s="88"/>
      <c r="I361" s="89">
        <v>0</v>
      </c>
      <c r="J361" s="85"/>
      <c r="K361" s="85"/>
      <c r="L361" s="6">
        <f t="shared" si="125"/>
        <v>0</v>
      </c>
      <c r="M361" s="85"/>
      <c r="N361" s="85"/>
      <c r="O361" s="85"/>
      <c r="P361" s="85"/>
      <c r="Q361" s="85"/>
      <c r="R361" s="85"/>
      <c r="S361" s="85"/>
      <c r="T361" s="85"/>
      <c r="U361" s="88"/>
      <c r="V361" s="88"/>
      <c r="W361" s="85"/>
      <c r="X361" s="85"/>
      <c r="Y361" s="15" t="e">
        <f t="shared" si="140"/>
        <v>#DIV/0!</v>
      </c>
      <c r="Z361" s="16">
        <v>0</v>
      </c>
      <c r="AA361" s="12" t="str">
        <f t="shared" si="127"/>
        <v/>
      </c>
      <c r="AB361" s="12" t="str">
        <f t="shared" si="128"/>
        <v/>
      </c>
      <c r="AC361" s="13" t="e">
        <f t="shared" si="141"/>
        <v>#DIV/0!</v>
      </c>
      <c r="AD361" s="13" t="e">
        <f t="shared" si="129"/>
        <v>#DIV/0!</v>
      </c>
      <c r="AE361" s="13"/>
      <c r="AF361" s="12" t="str">
        <f t="shared" si="116"/>
        <v/>
      </c>
      <c r="AG361" s="12" t="str">
        <f t="shared" si="117"/>
        <v/>
      </c>
      <c r="AH361" s="12" t="str">
        <f t="shared" si="118"/>
        <v/>
      </c>
      <c r="AI361" s="12" t="str">
        <f t="shared" si="131"/>
        <v/>
      </c>
      <c r="AJ361" s="12" t="str">
        <f t="shared" si="132"/>
        <v/>
      </c>
      <c r="AK361" s="12" t="str">
        <f t="shared" si="133"/>
        <v/>
      </c>
      <c r="AL361" s="12"/>
      <c r="AM361" s="13" t="e">
        <f t="shared" si="134"/>
        <v>#DIV/0!</v>
      </c>
      <c r="AN361" s="13" t="e">
        <f t="shared" si="135"/>
        <v>#DIV/0!</v>
      </c>
      <c r="AO361" s="13" t="e">
        <f t="shared" si="136"/>
        <v>#DIV/0!</v>
      </c>
      <c r="AP361" s="13" t="e">
        <f t="shared" si="137"/>
        <v>#DIV/0!</v>
      </c>
      <c r="AQ361" s="12">
        <f t="shared" si="138"/>
        <v>0</v>
      </c>
      <c r="AR361" s="13" t="e">
        <f t="shared" si="139"/>
        <v>#DIV/0!</v>
      </c>
      <c r="AS361" s="91" t="s">
        <v>327</v>
      </c>
      <c r="AT361" s="94"/>
      <c r="AU361" s="94"/>
    </row>
    <row r="362" spans="1:47" x14ac:dyDescent="0.25">
      <c r="A362" s="87">
        <v>46048</v>
      </c>
      <c r="B362" s="10" t="str">
        <f t="shared" si="114"/>
        <v>2026</v>
      </c>
      <c r="C362" s="10" t="str">
        <f t="shared" si="115"/>
        <v>January</v>
      </c>
      <c r="D362" s="84" t="s">
        <v>325</v>
      </c>
      <c r="E362" s="90">
        <v>0</v>
      </c>
      <c r="F362" s="12">
        <f t="shared" si="143"/>
        <v>0</v>
      </c>
      <c r="G362" s="12" t="str">
        <f t="shared" si="124"/>
        <v/>
      </c>
      <c r="H362" s="88"/>
      <c r="I362" s="89">
        <v>0</v>
      </c>
      <c r="J362" s="85"/>
      <c r="K362" s="85"/>
      <c r="L362" s="6">
        <f t="shared" si="125"/>
        <v>0</v>
      </c>
      <c r="M362" s="85"/>
      <c r="N362" s="85"/>
      <c r="O362" s="85"/>
      <c r="P362" s="85"/>
      <c r="Q362" s="85"/>
      <c r="R362" s="85"/>
      <c r="S362" s="85"/>
      <c r="T362" s="85"/>
      <c r="U362" s="88"/>
      <c r="V362" s="88"/>
      <c r="W362" s="85"/>
      <c r="X362" s="85"/>
      <c r="Y362" s="15" t="e">
        <f t="shared" si="140"/>
        <v>#DIV/0!</v>
      </c>
      <c r="Z362" s="16">
        <v>0</v>
      </c>
      <c r="AA362" s="12" t="str">
        <f t="shared" si="127"/>
        <v/>
      </c>
      <c r="AB362" s="12" t="str">
        <f t="shared" si="128"/>
        <v/>
      </c>
      <c r="AC362" s="13" t="e">
        <f t="shared" si="141"/>
        <v>#DIV/0!</v>
      </c>
      <c r="AD362" s="13" t="e">
        <f t="shared" si="129"/>
        <v>#DIV/0!</v>
      </c>
      <c r="AE362" s="13"/>
      <c r="AF362" s="12" t="str">
        <f t="shared" si="116"/>
        <v/>
      </c>
      <c r="AG362" s="12" t="str">
        <f t="shared" si="117"/>
        <v/>
      </c>
      <c r="AH362" s="12" t="str">
        <f t="shared" si="118"/>
        <v/>
      </c>
      <c r="AI362" s="12" t="str">
        <f t="shared" si="131"/>
        <v/>
      </c>
      <c r="AJ362" s="12" t="str">
        <f t="shared" si="132"/>
        <v/>
      </c>
      <c r="AK362" s="12" t="str">
        <f t="shared" si="133"/>
        <v/>
      </c>
      <c r="AL362" s="12"/>
      <c r="AM362" s="13" t="e">
        <f t="shared" si="134"/>
        <v>#DIV/0!</v>
      </c>
      <c r="AN362" s="13" t="e">
        <f t="shared" si="135"/>
        <v>#DIV/0!</v>
      </c>
      <c r="AO362" s="13" t="e">
        <f t="shared" si="136"/>
        <v>#DIV/0!</v>
      </c>
      <c r="AP362" s="13" t="e">
        <f t="shared" si="137"/>
        <v>#DIV/0!</v>
      </c>
      <c r="AQ362" s="12">
        <f t="shared" si="138"/>
        <v>0</v>
      </c>
      <c r="AR362" s="13" t="e">
        <f t="shared" si="139"/>
        <v>#DIV/0!</v>
      </c>
      <c r="AS362" s="91" t="s">
        <v>341</v>
      </c>
      <c r="AT362" s="94"/>
      <c r="AU362" s="94"/>
    </row>
    <row r="363" spans="1:47" x14ac:dyDescent="0.25">
      <c r="A363" s="87">
        <v>46049</v>
      </c>
      <c r="B363" s="10" t="str">
        <f t="shared" si="114"/>
        <v>2026</v>
      </c>
      <c r="C363" s="10" t="str">
        <f t="shared" si="115"/>
        <v>January</v>
      </c>
      <c r="D363" s="84" t="s">
        <v>325</v>
      </c>
      <c r="E363" s="90">
        <v>0</v>
      </c>
      <c r="F363" s="12">
        <f t="shared" si="143"/>
        <v>0</v>
      </c>
      <c r="G363" s="12" t="str">
        <f t="shared" si="124"/>
        <v/>
      </c>
      <c r="H363" s="88"/>
      <c r="I363" s="89">
        <v>0</v>
      </c>
      <c r="J363" s="85"/>
      <c r="K363" s="85"/>
      <c r="L363" s="6">
        <f t="shared" si="125"/>
        <v>0</v>
      </c>
      <c r="M363" s="85"/>
      <c r="N363" s="85"/>
      <c r="O363" s="85"/>
      <c r="P363" s="85"/>
      <c r="Q363" s="85"/>
      <c r="R363" s="85"/>
      <c r="S363" s="85"/>
      <c r="T363" s="85"/>
      <c r="U363" s="88"/>
      <c r="V363" s="88"/>
      <c r="W363" s="85"/>
      <c r="X363" s="85"/>
      <c r="Y363" s="15" t="e">
        <f t="shared" si="140"/>
        <v>#DIV/0!</v>
      </c>
      <c r="Z363" s="16">
        <v>0</v>
      </c>
      <c r="AA363" s="12" t="str">
        <f t="shared" si="127"/>
        <v/>
      </c>
      <c r="AB363" s="12" t="str">
        <f t="shared" si="128"/>
        <v/>
      </c>
      <c r="AC363" s="13" t="e">
        <f t="shared" si="141"/>
        <v>#DIV/0!</v>
      </c>
      <c r="AD363" s="13" t="e">
        <f t="shared" si="129"/>
        <v>#DIV/0!</v>
      </c>
      <c r="AE363" s="13"/>
      <c r="AF363" s="12" t="str">
        <f t="shared" si="116"/>
        <v/>
      </c>
      <c r="AG363" s="12" t="str">
        <f t="shared" si="117"/>
        <v/>
      </c>
      <c r="AH363" s="12" t="str">
        <f t="shared" si="118"/>
        <v/>
      </c>
      <c r="AI363" s="12" t="str">
        <f t="shared" si="131"/>
        <v/>
      </c>
      <c r="AJ363" s="12" t="str">
        <f t="shared" si="132"/>
        <v/>
      </c>
      <c r="AK363" s="12" t="str">
        <f t="shared" si="133"/>
        <v/>
      </c>
      <c r="AL363" s="12"/>
      <c r="AM363" s="13" t="e">
        <f t="shared" si="134"/>
        <v>#DIV/0!</v>
      </c>
      <c r="AN363" s="13" t="e">
        <f t="shared" si="135"/>
        <v>#DIV/0!</v>
      </c>
      <c r="AO363" s="13" t="e">
        <f t="shared" si="136"/>
        <v>#DIV/0!</v>
      </c>
      <c r="AP363" s="13" t="e">
        <f t="shared" si="137"/>
        <v>#DIV/0!</v>
      </c>
      <c r="AQ363" s="12">
        <f t="shared" si="138"/>
        <v>0</v>
      </c>
      <c r="AR363" s="13" t="e">
        <f t="shared" si="139"/>
        <v>#DIV/0!</v>
      </c>
      <c r="AS363" s="91" t="s">
        <v>342</v>
      </c>
      <c r="AT363" s="94"/>
      <c r="AU363" s="94"/>
    </row>
    <row r="364" spans="1:47" x14ac:dyDescent="0.25">
      <c r="A364" s="87">
        <v>46050</v>
      </c>
      <c r="B364" s="10" t="str">
        <f t="shared" ref="B364:B395" si="144">TEXT(A364,"YYYY")</f>
        <v>2026</v>
      </c>
      <c r="C364" s="10" t="str">
        <f t="shared" ref="C364:C395" si="145">TEXT(A364,"MMMM")</f>
        <v>January</v>
      </c>
      <c r="D364" s="84" t="s">
        <v>325</v>
      </c>
      <c r="E364" s="90">
        <v>0</v>
      </c>
      <c r="F364" s="12">
        <f t="shared" si="143"/>
        <v>0</v>
      </c>
      <c r="G364" s="12" t="str">
        <f t="shared" si="124"/>
        <v/>
      </c>
      <c r="H364" s="88"/>
      <c r="I364" s="89">
        <v>0</v>
      </c>
      <c r="J364" s="85"/>
      <c r="K364" s="85"/>
      <c r="L364" s="6">
        <f t="shared" si="125"/>
        <v>0</v>
      </c>
      <c r="M364" s="85"/>
      <c r="N364" s="85"/>
      <c r="O364" s="85"/>
      <c r="P364" s="85"/>
      <c r="Q364" s="85"/>
      <c r="R364" s="85"/>
      <c r="S364" s="85"/>
      <c r="T364" s="85"/>
      <c r="U364" s="88"/>
      <c r="V364" s="88"/>
      <c r="W364" s="85"/>
      <c r="X364" s="85"/>
      <c r="Y364" s="15" t="e">
        <f t="shared" si="140"/>
        <v>#DIV/0!</v>
      </c>
      <c r="Z364" s="16">
        <v>0</v>
      </c>
      <c r="AA364" s="12" t="str">
        <f t="shared" si="127"/>
        <v/>
      </c>
      <c r="AB364" s="12" t="str">
        <f t="shared" si="128"/>
        <v/>
      </c>
      <c r="AC364" s="13" t="e">
        <f t="shared" si="141"/>
        <v>#DIV/0!</v>
      </c>
      <c r="AD364" s="13" t="e">
        <f t="shared" si="129"/>
        <v>#DIV/0!</v>
      </c>
      <c r="AE364" s="13"/>
      <c r="AF364" s="12" t="str">
        <f t="shared" si="116"/>
        <v/>
      </c>
      <c r="AG364" s="12" t="str">
        <f t="shared" si="117"/>
        <v/>
      </c>
      <c r="AH364" s="12" t="str">
        <f t="shared" si="118"/>
        <v/>
      </c>
      <c r="AI364" s="12" t="str">
        <f t="shared" si="131"/>
        <v/>
      </c>
      <c r="AJ364" s="12" t="str">
        <f t="shared" si="132"/>
        <v/>
      </c>
      <c r="AK364" s="12" t="str">
        <f t="shared" si="133"/>
        <v/>
      </c>
      <c r="AL364" s="12"/>
      <c r="AM364" s="13" t="e">
        <f t="shared" si="134"/>
        <v>#DIV/0!</v>
      </c>
      <c r="AN364" s="13" t="e">
        <f t="shared" si="135"/>
        <v>#DIV/0!</v>
      </c>
      <c r="AO364" s="13" t="e">
        <f t="shared" si="136"/>
        <v>#DIV/0!</v>
      </c>
      <c r="AP364" s="13" t="e">
        <f t="shared" si="137"/>
        <v>#DIV/0!</v>
      </c>
      <c r="AQ364" s="12">
        <f t="shared" si="138"/>
        <v>0</v>
      </c>
      <c r="AR364" s="13" t="e">
        <f t="shared" si="139"/>
        <v>#DIV/0!</v>
      </c>
      <c r="AS364" s="91" t="s">
        <v>342</v>
      </c>
      <c r="AT364" s="94"/>
      <c r="AU364" s="94"/>
    </row>
    <row r="365" spans="1:47" x14ac:dyDescent="0.25">
      <c r="A365" s="87">
        <v>46051</v>
      </c>
      <c r="B365" s="10" t="str">
        <f t="shared" si="144"/>
        <v>2026</v>
      </c>
      <c r="C365" s="10" t="str">
        <f t="shared" si="145"/>
        <v>January</v>
      </c>
      <c r="D365" s="84" t="s">
        <v>325</v>
      </c>
      <c r="E365" s="90">
        <v>0</v>
      </c>
      <c r="F365" s="12">
        <f t="shared" si="143"/>
        <v>0</v>
      </c>
      <c r="G365" s="12" t="str">
        <f t="shared" si="124"/>
        <v/>
      </c>
      <c r="H365" s="88"/>
      <c r="I365" s="89">
        <v>0</v>
      </c>
      <c r="J365" s="85"/>
      <c r="K365" s="85"/>
      <c r="L365" s="6">
        <f t="shared" si="125"/>
        <v>0</v>
      </c>
      <c r="M365" s="85"/>
      <c r="N365" s="85"/>
      <c r="O365" s="85"/>
      <c r="P365" s="85"/>
      <c r="Q365" s="85"/>
      <c r="R365" s="85"/>
      <c r="S365" s="85"/>
      <c r="T365" s="85"/>
      <c r="U365" s="88"/>
      <c r="V365" s="88"/>
      <c r="W365" s="85"/>
      <c r="X365" s="85"/>
      <c r="Y365" s="15" t="e">
        <f t="shared" si="140"/>
        <v>#DIV/0!</v>
      </c>
      <c r="Z365" s="16">
        <v>0</v>
      </c>
      <c r="AA365" s="12" t="str">
        <f t="shared" si="127"/>
        <v/>
      </c>
      <c r="AB365" s="12" t="str">
        <f t="shared" si="128"/>
        <v/>
      </c>
      <c r="AC365" s="13" t="e">
        <f t="shared" si="141"/>
        <v>#DIV/0!</v>
      </c>
      <c r="AD365" s="13" t="e">
        <f t="shared" si="129"/>
        <v>#DIV/0!</v>
      </c>
      <c r="AE365" s="13"/>
      <c r="AF365" s="12" t="str">
        <f t="shared" si="116"/>
        <v/>
      </c>
      <c r="AG365" s="12" t="str">
        <f t="shared" si="117"/>
        <v/>
      </c>
      <c r="AH365" s="12" t="str">
        <f t="shared" si="118"/>
        <v/>
      </c>
      <c r="AI365" s="12" t="str">
        <f t="shared" si="131"/>
        <v/>
      </c>
      <c r="AJ365" s="12" t="str">
        <f t="shared" si="132"/>
        <v/>
      </c>
      <c r="AK365" s="12" t="str">
        <f t="shared" si="133"/>
        <v/>
      </c>
      <c r="AL365" s="12"/>
      <c r="AM365" s="13" t="e">
        <f t="shared" si="134"/>
        <v>#DIV/0!</v>
      </c>
      <c r="AN365" s="13" t="e">
        <f t="shared" si="135"/>
        <v>#DIV/0!</v>
      </c>
      <c r="AO365" s="13" t="e">
        <f t="shared" si="136"/>
        <v>#DIV/0!</v>
      </c>
      <c r="AP365" s="13" t="e">
        <f t="shared" si="137"/>
        <v>#DIV/0!</v>
      </c>
      <c r="AQ365" s="12">
        <f t="shared" si="138"/>
        <v>0</v>
      </c>
      <c r="AR365" s="13" t="e">
        <f t="shared" si="139"/>
        <v>#DIV/0!</v>
      </c>
      <c r="AS365" s="91" t="s">
        <v>343</v>
      </c>
      <c r="AT365" s="94"/>
      <c r="AU365" s="94"/>
    </row>
    <row r="366" spans="1:47" x14ac:dyDescent="0.25">
      <c r="A366" s="87">
        <v>46052</v>
      </c>
      <c r="B366" s="10" t="str">
        <f t="shared" si="144"/>
        <v>2026</v>
      </c>
      <c r="C366" s="10" t="str">
        <f t="shared" si="145"/>
        <v>January</v>
      </c>
      <c r="D366" s="84" t="s">
        <v>325</v>
      </c>
      <c r="E366" s="90">
        <v>0</v>
      </c>
      <c r="F366" s="12">
        <f t="shared" si="143"/>
        <v>0</v>
      </c>
      <c r="G366" s="12" t="str">
        <f t="shared" si="124"/>
        <v/>
      </c>
      <c r="H366" s="88"/>
      <c r="I366" s="89">
        <v>0</v>
      </c>
      <c r="J366" s="85"/>
      <c r="K366" s="85"/>
      <c r="L366" s="6">
        <f t="shared" si="125"/>
        <v>0</v>
      </c>
      <c r="M366" s="85"/>
      <c r="N366" s="85"/>
      <c r="O366" s="85"/>
      <c r="P366" s="85"/>
      <c r="Q366" s="85"/>
      <c r="R366" s="85"/>
      <c r="S366" s="85"/>
      <c r="T366" s="85"/>
      <c r="U366" s="88"/>
      <c r="V366" s="88"/>
      <c r="W366" s="85"/>
      <c r="X366" s="85"/>
      <c r="Y366" s="15" t="e">
        <f t="shared" si="140"/>
        <v>#DIV/0!</v>
      </c>
      <c r="Z366" s="16">
        <v>0</v>
      </c>
      <c r="AA366" s="12" t="str">
        <f t="shared" si="127"/>
        <v/>
      </c>
      <c r="AB366" s="12" t="str">
        <f t="shared" si="128"/>
        <v/>
      </c>
      <c r="AC366" s="13" t="e">
        <f t="shared" si="141"/>
        <v>#DIV/0!</v>
      </c>
      <c r="AD366" s="13" t="e">
        <f t="shared" si="129"/>
        <v>#DIV/0!</v>
      </c>
      <c r="AE366" s="13"/>
      <c r="AF366" s="12" t="str">
        <f t="shared" si="116"/>
        <v/>
      </c>
      <c r="AG366" s="12" t="str">
        <f t="shared" si="117"/>
        <v/>
      </c>
      <c r="AH366" s="12" t="str">
        <f t="shared" si="118"/>
        <v/>
      </c>
      <c r="AI366" s="12" t="str">
        <f t="shared" si="131"/>
        <v/>
      </c>
      <c r="AJ366" s="12" t="str">
        <f t="shared" si="132"/>
        <v/>
      </c>
      <c r="AK366" s="12" t="str">
        <f t="shared" si="133"/>
        <v/>
      </c>
      <c r="AL366" s="12"/>
      <c r="AM366" s="13" t="e">
        <f t="shared" si="134"/>
        <v>#DIV/0!</v>
      </c>
      <c r="AN366" s="13" t="e">
        <f t="shared" si="135"/>
        <v>#DIV/0!</v>
      </c>
      <c r="AO366" s="13" t="e">
        <f t="shared" si="136"/>
        <v>#DIV/0!</v>
      </c>
      <c r="AP366" s="13" t="e">
        <f t="shared" si="137"/>
        <v>#DIV/0!</v>
      </c>
      <c r="AQ366" s="12">
        <f t="shared" si="138"/>
        <v>0</v>
      </c>
      <c r="AR366" s="13" t="e">
        <f t="shared" si="139"/>
        <v>#DIV/0!</v>
      </c>
      <c r="AS366" s="91" t="s">
        <v>344</v>
      </c>
      <c r="AT366" s="94"/>
      <c r="AU366" s="94"/>
    </row>
    <row r="367" spans="1:47" x14ac:dyDescent="0.25">
      <c r="A367" s="87">
        <v>46055</v>
      </c>
      <c r="B367" s="10" t="str">
        <f t="shared" si="144"/>
        <v>2026</v>
      </c>
      <c r="C367" s="10" t="str">
        <f t="shared" si="145"/>
        <v>February</v>
      </c>
      <c r="D367" s="84" t="s">
        <v>325</v>
      </c>
      <c r="E367" s="90">
        <v>0</v>
      </c>
      <c r="F367" s="12">
        <f t="shared" si="143"/>
        <v>0</v>
      </c>
      <c r="G367" s="12" t="str">
        <f t="shared" si="124"/>
        <v/>
      </c>
      <c r="H367" s="88"/>
      <c r="I367" s="89">
        <v>0</v>
      </c>
      <c r="J367" s="85"/>
      <c r="K367" s="85"/>
      <c r="L367" s="6">
        <f t="shared" si="125"/>
        <v>0</v>
      </c>
      <c r="M367" s="85"/>
      <c r="N367" s="85"/>
      <c r="O367" s="85"/>
      <c r="P367" s="85"/>
      <c r="Q367" s="85"/>
      <c r="R367" s="85"/>
      <c r="S367" s="85"/>
      <c r="T367" s="85"/>
      <c r="U367" s="88"/>
      <c r="V367" s="88"/>
      <c r="W367" s="85"/>
      <c r="X367" s="85"/>
      <c r="Y367" s="15" t="e">
        <f t="shared" si="140"/>
        <v>#DIV/0!</v>
      </c>
      <c r="Z367" s="16">
        <v>0</v>
      </c>
      <c r="AA367" s="12" t="str">
        <f t="shared" si="127"/>
        <v/>
      </c>
      <c r="AB367" s="12" t="str">
        <f t="shared" si="128"/>
        <v/>
      </c>
      <c r="AC367" s="13" t="e">
        <f t="shared" si="141"/>
        <v>#DIV/0!</v>
      </c>
      <c r="AD367" s="13" t="e">
        <f t="shared" si="129"/>
        <v>#DIV/0!</v>
      </c>
      <c r="AE367" s="13"/>
      <c r="AF367" s="12" t="str">
        <f t="shared" si="116"/>
        <v/>
      </c>
      <c r="AG367" s="12" t="str">
        <f t="shared" si="117"/>
        <v/>
      </c>
      <c r="AH367" s="12" t="str">
        <f t="shared" si="118"/>
        <v/>
      </c>
      <c r="AI367" s="12" t="str">
        <f t="shared" si="131"/>
        <v/>
      </c>
      <c r="AJ367" s="12" t="str">
        <f t="shared" si="132"/>
        <v/>
      </c>
      <c r="AK367" s="12" t="str">
        <f t="shared" si="133"/>
        <v/>
      </c>
      <c r="AL367" s="12"/>
      <c r="AM367" s="13" t="e">
        <f t="shared" si="134"/>
        <v>#DIV/0!</v>
      </c>
      <c r="AN367" s="13" t="e">
        <f t="shared" si="135"/>
        <v>#DIV/0!</v>
      </c>
      <c r="AO367" s="13" t="e">
        <f t="shared" si="136"/>
        <v>#DIV/0!</v>
      </c>
      <c r="AP367" s="13" t="e">
        <f t="shared" si="137"/>
        <v>#DIV/0!</v>
      </c>
      <c r="AQ367" s="12">
        <f t="shared" si="138"/>
        <v>0</v>
      </c>
      <c r="AR367" s="13" t="e">
        <f t="shared" si="139"/>
        <v>#DIV/0!</v>
      </c>
      <c r="AS367" s="91" t="s">
        <v>345</v>
      </c>
      <c r="AT367" s="94"/>
      <c r="AU367" s="94"/>
    </row>
    <row r="368" spans="1:47" x14ac:dyDescent="0.25">
      <c r="A368" s="87">
        <v>46056</v>
      </c>
      <c r="B368" s="10" t="str">
        <f t="shared" si="144"/>
        <v>2026</v>
      </c>
      <c r="C368" s="10" t="str">
        <f t="shared" si="145"/>
        <v>February</v>
      </c>
      <c r="D368" s="84" t="s">
        <v>325</v>
      </c>
      <c r="E368" s="90">
        <v>559</v>
      </c>
      <c r="F368" s="12">
        <f t="shared" si="143"/>
        <v>7546.5</v>
      </c>
      <c r="G368" s="12">
        <f t="shared" si="124"/>
        <v>847.92134831460669</v>
      </c>
      <c r="H368" s="88" t="s">
        <v>31</v>
      </c>
      <c r="I368" s="89">
        <v>0</v>
      </c>
      <c r="J368" s="85">
        <v>57</v>
      </c>
      <c r="K368" s="85"/>
      <c r="L368" s="6">
        <f t="shared" si="125"/>
        <v>5591</v>
      </c>
      <c r="M368" s="85">
        <v>2147</v>
      </c>
      <c r="N368" s="85">
        <v>3444</v>
      </c>
      <c r="O368" s="85"/>
      <c r="P368" s="85">
        <v>3382</v>
      </c>
      <c r="Q368" s="85">
        <v>0</v>
      </c>
      <c r="R368" s="85">
        <v>0</v>
      </c>
      <c r="S368" s="85">
        <v>0</v>
      </c>
      <c r="T368" s="85">
        <v>0</v>
      </c>
      <c r="U368" s="88" t="s">
        <v>326</v>
      </c>
      <c r="V368" s="88" t="s">
        <v>133</v>
      </c>
      <c r="W368" s="85">
        <v>11</v>
      </c>
      <c r="X368" s="85">
        <v>8.9</v>
      </c>
      <c r="Y368" s="15">
        <f t="shared" si="140"/>
        <v>5.663636363636364</v>
      </c>
      <c r="Z368" s="16">
        <f t="shared" si="126"/>
        <v>0.80909090909090908</v>
      </c>
      <c r="AA368" s="12">
        <f t="shared" si="127"/>
        <v>0</v>
      </c>
      <c r="AB368" s="12">
        <f t="shared" si="128"/>
        <v>0</v>
      </c>
      <c r="AC368" s="13">
        <f t="shared" si="141"/>
        <v>0</v>
      </c>
      <c r="AD368" s="13">
        <f t="shared" si="129"/>
        <v>0</v>
      </c>
      <c r="AE368" s="13">
        <f t="shared" si="130"/>
        <v>628.20224719101122</v>
      </c>
      <c r="AF368" s="12">
        <f t="shared" si="116"/>
        <v>241.23595505617976</v>
      </c>
      <c r="AG368" s="12">
        <f t="shared" si="117"/>
        <v>386.96629213483146</v>
      </c>
      <c r="AH368" s="12">
        <f t="shared" si="118"/>
        <v>0</v>
      </c>
      <c r="AI368" s="12">
        <f t="shared" si="131"/>
        <v>0.28450274961902872</v>
      </c>
      <c r="AJ368" s="12">
        <f t="shared" si="132"/>
        <v>0.45637050288213077</v>
      </c>
      <c r="AK368" s="12">
        <f t="shared" si="133"/>
        <v>0</v>
      </c>
      <c r="AL368" s="12">
        <f t="shared" si="122"/>
        <v>0.74087325250115943</v>
      </c>
      <c r="AM368" s="13">
        <f t="shared" si="134"/>
        <v>0</v>
      </c>
      <c r="AN368" s="13">
        <f t="shared" si="135"/>
        <v>380</v>
      </c>
      <c r="AO368" s="13">
        <f t="shared" si="136"/>
        <v>0</v>
      </c>
      <c r="AP368" s="13">
        <f t="shared" si="137"/>
        <v>0</v>
      </c>
      <c r="AQ368" s="12">
        <f t="shared" si="138"/>
        <v>8973</v>
      </c>
      <c r="AR368" s="13">
        <f t="shared" si="139"/>
        <v>1008.2022471910112</v>
      </c>
      <c r="AS368" s="91" t="s">
        <v>346</v>
      </c>
      <c r="AT368" s="94"/>
      <c r="AU368" s="94"/>
    </row>
    <row r="369" spans="1:47" x14ac:dyDescent="0.25">
      <c r="A369" s="87">
        <v>46057</v>
      </c>
      <c r="B369" s="10" t="str">
        <f t="shared" si="144"/>
        <v>2026</v>
      </c>
      <c r="C369" s="10" t="str">
        <f t="shared" si="145"/>
        <v>February</v>
      </c>
      <c r="D369" s="84" t="s">
        <v>325</v>
      </c>
      <c r="E369" s="90">
        <v>371</v>
      </c>
      <c r="F369" s="12">
        <f t="shared" si="143"/>
        <v>5008.5</v>
      </c>
      <c r="G369" s="12">
        <f t="shared" si="124"/>
        <v>1065.6382978723404</v>
      </c>
      <c r="H369" s="88" t="s">
        <v>31</v>
      </c>
      <c r="I369" s="89">
        <v>0</v>
      </c>
      <c r="J369" s="85">
        <v>57</v>
      </c>
      <c r="K369" s="85"/>
      <c r="L369" s="6">
        <f t="shared" si="125"/>
        <v>3232</v>
      </c>
      <c r="M369" s="85">
        <v>1379</v>
      </c>
      <c r="N369" s="85">
        <v>1853</v>
      </c>
      <c r="O369" s="85"/>
      <c r="P369" s="85">
        <v>1786</v>
      </c>
      <c r="Q369" s="85">
        <v>0</v>
      </c>
      <c r="R369" s="85">
        <v>0</v>
      </c>
      <c r="S369" s="85">
        <v>0</v>
      </c>
      <c r="T369" s="85">
        <v>0</v>
      </c>
      <c r="U369" s="88" t="s">
        <v>326</v>
      </c>
      <c r="V369" s="88" t="s">
        <v>133</v>
      </c>
      <c r="W369" s="85">
        <v>12</v>
      </c>
      <c r="X369" s="85">
        <v>4.7</v>
      </c>
      <c r="Y369" s="15">
        <f t="shared" si="140"/>
        <v>2.7416666666666671</v>
      </c>
      <c r="Z369" s="16">
        <f t="shared" si="126"/>
        <v>0.39166666666666666</v>
      </c>
      <c r="AA369" s="12">
        <f t="shared" si="127"/>
        <v>0</v>
      </c>
      <c r="AB369" s="12">
        <f t="shared" si="128"/>
        <v>0</v>
      </c>
      <c r="AC369" s="13">
        <f t="shared" si="141"/>
        <v>0</v>
      </c>
      <c r="AD369" s="13">
        <f t="shared" si="129"/>
        <v>0</v>
      </c>
      <c r="AE369" s="13">
        <f t="shared" si="130"/>
        <v>687.65957446808511</v>
      </c>
      <c r="AF369" s="12">
        <f t="shared" si="116"/>
        <v>293.40425531914894</v>
      </c>
      <c r="AG369" s="12">
        <f t="shared" si="117"/>
        <v>394.25531914893617</v>
      </c>
      <c r="AH369" s="12">
        <f t="shared" si="118"/>
        <v>0</v>
      </c>
      <c r="AI369" s="12">
        <f t="shared" si="131"/>
        <v>0.27533193570929421</v>
      </c>
      <c r="AJ369" s="12">
        <f t="shared" si="132"/>
        <v>0.36997104921633223</v>
      </c>
      <c r="AK369" s="12">
        <f t="shared" si="133"/>
        <v>0</v>
      </c>
      <c r="AL369" s="12">
        <f t="shared" si="122"/>
        <v>0.64530298492562643</v>
      </c>
      <c r="AM369" s="13">
        <f t="shared" si="134"/>
        <v>0</v>
      </c>
      <c r="AN369" s="13">
        <f t="shared" si="135"/>
        <v>380</v>
      </c>
      <c r="AO369" s="13">
        <f t="shared" si="136"/>
        <v>0</v>
      </c>
      <c r="AP369" s="13">
        <f t="shared" si="137"/>
        <v>0</v>
      </c>
      <c r="AQ369" s="12">
        <f t="shared" si="138"/>
        <v>5018</v>
      </c>
      <c r="AR369" s="13">
        <f t="shared" si="139"/>
        <v>1067.6595744680851</v>
      </c>
      <c r="AS369" s="91" t="s">
        <v>347</v>
      </c>
      <c r="AT369" s="94"/>
      <c r="AU369" s="94"/>
    </row>
    <row r="370" spans="1:47" x14ac:dyDescent="0.25">
      <c r="A370" s="87">
        <v>46058</v>
      </c>
      <c r="B370" s="10" t="str">
        <f t="shared" si="144"/>
        <v>2026</v>
      </c>
      <c r="C370" s="10" t="str">
        <f t="shared" si="145"/>
        <v>February</v>
      </c>
      <c r="D370" s="84" t="s">
        <v>325</v>
      </c>
      <c r="E370" s="90">
        <v>537</v>
      </c>
      <c r="F370" s="12">
        <f t="shared" si="143"/>
        <v>7249.5</v>
      </c>
      <c r="G370" s="12">
        <f t="shared" si="124"/>
        <v>993.08219178082197</v>
      </c>
      <c r="H370" s="88" t="s">
        <v>31</v>
      </c>
      <c r="I370" s="89">
        <v>0</v>
      </c>
      <c r="J370" s="85">
        <v>57</v>
      </c>
      <c r="K370" s="85"/>
      <c r="L370" s="6">
        <f t="shared" si="125"/>
        <v>4751</v>
      </c>
      <c r="M370" s="85">
        <v>1966</v>
      </c>
      <c r="N370" s="85">
        <v>2785</v>
      </c>
      <c r="O370" s="85"/>
      <c r="P370" s="85">
        <v>2774</v>
      </c>
      <c r="Q370" s="85">
        <v>0</v>
      </c>
      <c r="R370" s="85">
        <v>0</v>
      </c>
      <c r="S370" s="85">
        <v>0</v>
      </c>
      <c r="T370" s="85">
        <v>0</v>
      </c>
      <c r="U370" s="88" t="s">
        <v>326</v>
      </c>
      <c r="V370" s="88" t="s">
        <v>133</v>
      </c>
      <c r="W370" s="85">
        <v>12</v>
      </c>
      <c r="X370" s="85">
        <v>7.3</v>
      </c>
      <c r="Y370" s="15">
        <f t="shared" si="140"/>
        <v>4.2583333333333337</v>
      </c>
      <c r="Z370" s="16">
        <f t="shared" si="126"/>
        <v>0.60833333333333328</v>
      </c>
      <c r="AA370" s="12">
        <f t="shared" si="127"/>
        <v>0</v>
      </c>
      <c r="AB370" s="12">
        <f t="shared" si="128"/>
        <v>0</v>
      </c>
      <c r="AC370" s="13">
        <f t="shared" si="141"/>
        <v>0</v>
      </c>
      <c r="AD370" s="13">
        <f t="shared" si="129"/>
        <v>0</v>
      </c>
      <c r="AE370" s="13">
        <f t="shared" si="130"/>
        <v>650.82191780821915</v>
      </c>
      <c r="AF370" s="12">
        <f t="shared" si="116"/>
        <v>269.3150684931507</v>
      </c>
      <c r="AG370" s="12">
        <f t="shared" si="117"/>
        <v>381.50684931506851</v>
      </c>
      <c r="AH370" s="12">
        <f t="shared" si="118"/>
        <v>0</v>
      </c>
      <c r="AI370" s="12">
        <f t="shared" si="131"/>
        <v>0.27119111662873302</v>
      </c>
      <c r="AJ370" s="12">
        <f t="shared" si="132"/>
        <v>0.38416442513276777</v>
      </c>
      <c r="AK370" s="12">
        <f t="shared" si="133"/>
        <v>0</v>
      </c>
      <c r="AL370" s="12">
        <f t="shared" si="122"/>
        <v>0.65535554176150079</v>
      </c>
      <c r="AM370" s="13">
        <f t="shared" si="134"/>
        <v>0</v>
      </c>
      <c r="AN370" s="13">
        <f t="shared" si="135"/>
        <v>380</v>
      </c>
      <c r="AO370" s="13">
        <f t="shared" si="136"/>
        <v>0</v>
      </c>
      <c r="AP370" s="13">
        <f t="shared" si="137"/>
        <v>0</v>
      </c>
      <c r="AQ370" s="12">
        <f t="shared" si="138"/>
        <v>7525</v>
      </c>
      <c r="AR370" s="13">
        <f t="shared" si="139"/>
        <v>1030.821917808219</v>
      </c>
      <c r="AS370" s="91" t="s">
        <v>348</v>
      </c>
      <c r="AT370" s="94"/>
      <c r="AU370" s="94"/>
    </row>
    <row r="371" spans="1:47" x14ac:dyDescent="0.25">
      <c r="A371" s="87">
        <v>46059</v>
      </c>
      <c r="B371" s="10" t="str">
        <f t="shared" si="144"/>
        <v>2026</v>
      </c>
      <c r="C371" s="10" t="str">
        <f t="shared" si="145"/>
        <v>February</v>
      </c>
      <c r="D371" s="84" t="s">
        <v>325</v>
      </c>
      <c r="E371" s="90">
        <v>567</v>
      </c>
      <c r="F371" s="12">
        <f t="shared" si="143"/>
        <v>7654.5</v>
      </c>
      <c r="G371" s="12">
        <f t="shared" si="124"/>
        <v>1078.0985915492959</v>
      </c>
      <c r="H371" s="88" t="s">
        <v>31</v>
      </c>
      <c r="I371" s="89">
        <v>0</v>
      </c>
      <c r="J371" s="85">
        <v>57</v>
      </c>
      <c r="K371" s="85"/>
      <c r="L371" s="6">
        <f t="shared" si="125"/>
        <v>4837</v>
      </c>
      <c r="M371" s="85">
        <v>1990</v>
      </c>
      <c r="N371" s="85">
        <v>2847</v>
      </c>
      <c r="O371" s="85"/>
      <c r="P371" s="85">
        <v>2736</v>
      </c>
      <c r="Q371" s="85">
        <v>0</v>
      </c>
      <c r="R371" s="85">
        <v>0</v>
      </c>
      <c r="S371" s="85">
        <v>0</v>
      </c>
      <c r="T371" s="85">
        <v>0</v>
      </c>
      <c r="U371" s="88" t="s">
        <v>326</v>
      </c>
      <c r="V371" s="88" t="s">
        <v>133</v>
      </c>
      <c r="W371" s="85">
        <v>9</v>
      </c>
      <c r="X371" s="85">
        <v>7.1</v>
      </c>
      <c r="Y371" s="15">
        <f t="shared" si="140"/>
        <v>5.5222222222222221</v>
      </c>
      <c r="Z371" s="16">
        <f t="shared" si="126"/>
        <v>0.78888888888888886</v>
      </c>
      <c r="AA371" s="12">
        <f t="shared" si="127"/>
        <v>0</v>
      </c>
      <c r="AB371" s="12">
        <f t="shared" si="128"/>
        <v>0</v>
      </c>
      <c r="AC371" s="13">
        <f t="shared" si="141"/>
        <v>0</v>
      </c>
      <c r="AD371" s="13">
        <f t="shared" si="129"/>
        <v>0</v>
      </c>
      <c r="AE371" s="13">
        <f t="shared" si="130"/>
        <v>681.26760563380287</v>
      </c>
      <c r="AF371" s="12">
        <f t="shared" si="116"/>
        <v>280.28169014084506</v>
      </c>
      <c r="AG371" s="12">
        <f t="shared" si="117"/>
        <v>400.98591549295776</v>
      </c>
      <c r="AH371" s="12">
        <f t="shared" si="118"/>
        <v>0</v>
      </c>
      <c r="AI371" s="12">
        <f t="shared" si="131"/>
        <v>0.25997779084198835</v>
      </c>
      <c r="AJ371" s="12">
        <f t="shared" si="132"/>
        <v>0.37193807564177933</v>
      </c>
      <c r="AK371" s="12">
        <f t="shared" si="133"/>
        <v>0</v>
      </c>
      <c r="AL371" s="12">
        <f t="shared" si="122"/>
        <v>0.63191586648376763</v>
      </c>
      <c r="AM371" s="13">
        <f t="shared" si="134"/>
        <v>0</v>
      </c>
      <c r="AN371" s="13">
        <f t="shared" si="135"/>
        <v>385.35211267605638</v>
      </c>
      <c r="AO371" s="13">
        <f t="shared" si="136"/>
        <v>0</v>
      </c>
      <c r="AP371" s="13">
        <f t="shared" si="137"/>
        <v>0</v>
      </c>
      <c r="AQ371" s="12">
        <f t="shared" si="138"/>
        <v>7573</v>
      </c>
      <c r="AR371" s="13">
        <f t="shared" si="139"/>
        <v>1066.6197183098593</v>
      </c>
      <c r="AS371" s="91" t="s">
        <v>349</v>
      </c>
      <c r="AT371" s="94"/>
      <c r="AU371" s="94"/>
    </row>
    <row r="372" spans="1:47" x14ac:dyDescent="0.25">
      <c r="A372" s="87">
        <v>46062</v>
      </c>
      <c r="B372" s="10" t="str">
        <f t="shared" si="144"/>
        <v>2026</v>
      </c>
      <c r="C372" s="10" t="str">
        <f t="shared" si="145"/>
        <v>February</v>
      </c>
      <c r="D372" s="84" t="s">
        <v>325</v>
      </c>
      <c r="E372" s="90">
        <v>666</v>
      </c>
      <c r="F372" s="12">
        <f t="shared" si="143"/>
        <v>8991</v>
      </c>
      <c r="G372" s="12">
        <f t="shared" si="124"/>
        <v>832.5</v>
      </c>
      <c r="H372" s="88" t="s">
        <v>31</v>
      </c>
      <c r="I372" s="89">
        <v>0</v>
      </c>
      <c r="J372" s="85">
        <v>57</v>
      </c>
      <c r="K372" s="85"/>
      <c r="L372" s="6">
        <f t="shared" si="125"/>
        <v>5626</v>
      </c>
      <c r="M372" s="85">
        <v>2326</v>
      </c>
      <c r="N372" s="85">
        <v>3300</v>
      </c>
      <c r="O372" s="85"/>
      <c r="P372" s="85">
        <v>4104</v>
      </c>
      <c r="Q372" s="85">
        <v>0</v>
      </c>
      <c r="R372" s="85">
        <v>0</v>
      </c>
      <c r="S372" s="85">
        <v>0</v>
      </c>
      <c r="T372" s="85">
        <v>0</v>
      </c>
      <c r="U372" s="88" t="s">
        <v>326</v>
      </c>
      <c r="V372" s="88" t="s">
        <v>133</v>
      </c>
      <c r="W372" s="85">
        <v>12</v>
      </c>
      <c r="X372" s="85">
        <v>10.8</v>
      </c>
      <c r="Y372" s="15">
        <f t="shared" si="140"/>
        <v>6.3000000000000007</v>
      </c>
      <c r="Z372" s="16">
        <f t="shared" si="126"/>
        <v>0.9</v>
      </c>
      <c r="AA372" s="12">
        <f t="shared" si="127"/>
        <v>0</v>
      </c>
      <c r="AB372" s="12">
        <f t="shared" si="128"/>
        <v>0</v>
      </c>
      <c r="AC372" s="13">
        <f t="shared" si="141"/>
        <v>0</v>
      </c>
      <c r="AD372" s="13">
        <f t="shared" si="129"/>
        <v>0</v>
      </c>
      <c r="AE372" s="13">
        <f t="shared" si="130"/>
        <v>520.92592592592587</v>
      </c>
      <c r="AF372" s="12">
        <f t="shared" si="116"/>
        <v>215.37037037037035</v>
      </c>
      <c r="AG372" s="12">
        <f t="shared" si="117"/>
        <v>305.55555555555554</v>
      </c>
      <c r="AH372" s="12">
        <f t="shared" si="118"/>
        <v>0</v>
      </c>
      <c r="AI372" s="12">
        <f t="shared" si="131"/>
        <v>0.2587031475920365</v>
      </c>
      <c r="AJ372" s="12">
        <f t="shared" si="132"/>
        <v>0.3670337003670337</v>
      </c>
      <c r="AK372" s="12">
        <f t="shared" si="133"/>
        <v>0</v>
      </c>
      <c r="AL372" s="12">
        <f t="shared" si="122"/>
        <v>0.62573684795907014</v>
      </c>
      <c r="AM372" s="13">
        <f t="shared" si="134"/>
        <v>0</v>
      </c>
      <c r="AN372" s="13">
        <f t="shared" si="135"/>
        <v>380</v>
      </c>
      <c r="AO372" s="13">
        <f t="shared" si="136"/>
        <v>0</v>
      </c>
      <c r="AP372" s="13">
        <f t="shared" si="137"/>
        <v>0</v>
      </c>
      <c r="AQ372" s="12">
        <f t="shared" si="138"/>
        <v>9730</v>
      </c>
      <c r="AR372" s="13">
        <f t="shared" si="139"/>
        <v>900.92592592592587</v>
      </c>
      <c r="AS372" s="91" t="s">
        <v>350</v>
      </c>
      <c r="AT372" s="94"/>
      <c r="AU372" s="94"/>
    </row>
    <row r="373" spans="1:47" x14ac:dyDescent="0.25">
      <c r="A373" s="87">
        <v>46063</v>
      </c>
      <c r="B373" s="10" t="str">
        <f t="shared" si="144"/>
        <v>2026</v>
      </c>
      <c r="C373" s="10" t="str">
        <f t="shared" si="145"/>
        <v>February</v>
      </c>
      <c r="D373" s="84" t="s">
        <v>325</v>
      </c>
      <c r="E373" s="90">
        <v>560</v>
      </c>
      <c r="F373" s="12">
        <f t="shared" si="143"/>
        <v>7560</v>
      </c>
      <c r="G373" s="12">
        <f t="shared" si="124"/>
        <v>1095.6521739130435</v>
      </c>
      <c r="H373" s="88" t="s">
        <v>31</v>
      </c>
      <c r="I373" s="89">
        <v>0</v>
      </c>
      <c r="J373" s="85">
        <v>57</v>
      </c>
      <c r="K373" s="85"/>
      <c r="L373" s="6">
        <f t="shared" si="125"/>
        <v>4513</v>
      </c>
      <c r="M373" s="85">
        <v>1954</v>
      </c>
      <c r="N373" s="85">
        <v>2559</v>
      </c>
      <c r="O373" s="85"/>
      <c r="P373" s="85">
        <v>2622</v>
      </c>
      <c r="Q373" s="85">
        <v>0</v>
      </c>
      <c r="R373" s="85">
        <v>0</v>
      </c>
      <c r="S373" s="85">
        <v>0</v>
      </c>
      <c r="T373" s="85">
        <v>0</v>
      </c>
      <c r="U373" s="88" t="s">
        <v>326</v>
      </c>
      <c r="V373" s="88" t="s">
        <v>133</v>
      </c>
      <c r="W373" s="85">
        <v>12</v>
      </c>
      <c r="X373" s="85">
        <v>6.9</v>
      </c>
      <c r="Y373" s="15">
        <f t="shared" si="140"/>
        <v>4.0250000000000004</v>
      </c>
      <c r="Z373" s="16">
        <f t="shared" si="126"/>
        <v>0.57500000000000007</v>
      </c>
      <c r="AA373" s="12">
        <f t="shared" si="127"/>
        <v>0</v>
      </c>
      <c r="AB373" s="12">
        <f t="shared" si="128"/>
        <v>0</v>
      </c>
      <c r="AC373" s="13">
        <f t="shared" si="141"/>
        <v>0</v>
      </c>
      <c r="AD373" s="13">
        <f t="shared" si="129"/>
        <v>0</v>
      </c>
      <c r="AE373" s="13">
        <f t="shared" si="130"/>
        <v>654.05797101449275</v>
      </c>
      <c r="AF373" s="12">
        <f t="shared" si="116"/>
        <v>283.18840579710144</v>
      </c>
      <c r="AG373" s="12">
        <f t="shared" si="117"/>
        <v>370.86956521739131</v>
      </c>
      <c r="AH373" s="12">
        <f t="shared" si="118"/>
        <v>0</v>
      </c>
      <c r="AI373" s="12">
        <f t="shared" si="131"/>
        <v>0.25846560846560845</v>
      </c>
      <c r="AJ373" s="12">
        <f t="shared" si="132"/>
        <v>0.33849206349206351</v>
      </c>
      <c r="AK373" s="12">
        <f t="shared" si="133"/>
        <v>0</v>
      </c>
      <c r="AL373" s="12">
        <f t="shared" si="122"/>
        <v>0.59695767195767191</v>
      </c>
      <c r="AM373" s="13">
        <f t="shared" si="134"/>
        <v>0</v>
      </c>
      <c r="AN373" s="13">
        <f t="shared" si="135"/>
        <v>380</v>
      </c>
      <c r="AO373" s="13">
        <f t="shared" si="136"/>
        <v>0</v>
      </c>
      <c r="AP373" s="13">
        <f t="shared" si="137"/>
        <v>0</v>
      </c>
      <c r="AQ373" s="12">
        <f t="shared" si="138"/>
        <v>7135</v>
      </c>
      <c r="AR373" s="13">
        <f t="shared" si="139"/>
        <v>1034.0579710144928</v>
      </c>
      <c r="AS373" s="91" t="s">
        <v>351</v>
      </c>
      <c r="AT373" s="94"/>
      <c r="AU373" s="94"/>
    </row>
    <row r="374" spans="1:47" x14ac:dyDescent="0.25">
      <c r="A374" s="87">
        <v>46064</v>
      </c>
      <c r="B374" s="10" t="str">
        <f t="shared" si="144"/>
        <v>2026</v>
      </c>
      <c r="C374" s="10" t="str">
        <f t="shared" si="145"/>
        <v>February</v>
      </c>
      <c r="D374" s="84" t="s">
        <v>325</v>
      </c>
      <c r="E374" s="90"/>
      <c r="F374" s="12">
        <f t="shared" si="143"/>
        <v>0</v>
      </c>
      <c r="G374" s="12" t="str">
        <f t="shared" si="124"/>
        <v/>
      </c>
      <c r="H374" s="88"/>
      <c r="I374" s="89">
        <v>0</v>
      </c>
      <c r="J374" s="85"/>
      <c r="K374" s="85"/>
      <c r="L374" s="6">
        <f t="shared" si="125"/>
        <v>0</v>
      </c>
      <c r="M374" s="85"/>
      <c r="N374" s="85"/>
      <c r="O374" s="85"/>
      <c r="P374" s="85"/>
      <c r="Q374" s="85"/>
      <c r="R374" s="85"/>
      <c r="S374" s="85"/>
      <c r="T374" s="85"/>
      <c r="U374" s="88"/>
      <c r="V374" s="88"/>
      <c r="W374" s="85"/>
      <c r="X374" s="85"/>
      <c r="Y374" s="15" t="e">
        <f t="shared" si="140"/>
        <v>#DIV/0!</v>
      </c>
      <c r="Z374" s="16">
        <v>0</v>
      </c>
      <c r="AA374" s="12" t="str">
        <f t="shared" si="127"/>
        <v/>
      </c>
      <c r="AB374" s="12" t="str">
        <f t="shared" si="128"/>
        <v/>
      </c>
      <c r="AC374" s="13" t="e">
        <f t="shared" si="141"/>
        <v>#DIV/0!</v>
      </c>
      <c r="AD374" s="13" t="e">
        <f t="shared" si="129"/>
        <v>#DIV/0!</v>
      </c>
      <c r="AE374" s="13"/>
      <c r="AF374" s="12" t="str">
        <f t="shared" si="116"/>
        <v/>
      </c>
      <c r="AG374" s="12" t="str">
        <f t="shared" si="117"/>
        <v/>
      </c>
      <c r="AH374" s="12" t="str">
        <f t="shared" si="118"/>
        <v/>
      </c>
      <c r="AI374" s="12" t="str">
        <f t="shared" si="131"/>
        <v/>
      </c>
      <c r="AJ374" s="12" t="str">
        <f t="shared" si="132"/>
        <v/>
      </c>
      <c r="AK374" s="12" t="str">
        <f t="shared" si="133"/>
        <v/>
      </c>
      <c r="AL374" s="12"/>
      <c r="AM374" s="13" t="e">
        <f t="shared" si="134"/>
        <v>#DIV/0!</v>
      </c>
      <c r="AN374" s="13" t="e">
        <f t="shared" si="135"/>
        <v>#DIV/0!</v>
      </c>
      <c r="AO374" s="13" t="e">
        <f t="shared" si="136"/>
        <v>#DIV/0!</v>
      </c>
      <c r="AP374" s="13" t="e">
        <f t="shared" si="137"/>
        <v>#DIV/0!</v>
      </c>
      <c r="AQ374" s="12">
        <f t="shared" si="138"/>
        <v>0</v>
      </c>
      <c r="AR374" s="13" t="e">
        <f t="shared" si="139"/>
        <v>#DIV/0!</v>
      </c>
      <c r="AS374" s="91" t="s">
        <v>352</v>
      </c>
      <c r="AT374" s="94"/>
      <c r="AU374" s="94"/>
    </row>
    <row r="375" spans="1:47" x14ac:dyDescent="0.25">
      <c r="A375" s="87">
        <v>46065</v>
      </c>
      <c r="B375" s="10" t="str">
        <f t="shared" si="144"/>
        <v>2026</v>
      </c>
      <c r="C375" s="10" t="str">
        <f t="shared" si="145"/>
        <v>February</v>
      </c>
      <c r="D375" s="84" t="s">
        <v>325</v>
      </c>
      <c r="E375" s="90"/>
      <c r="F375" s="12">
        <f t="shared" si="143"/>
        <v>0</v>
      </c>
      <c r="G375" s="12" t="str">
        <f t="shared" si="124"/>
        <v/>
      </c>
      <c r="H375" s="88"/>
      <c r="I375" s="89">
        <v>0</v>
      </c>
      <c r="J375" s="85"/>
      <c r="K375" s="85"/>
      <c r="L375" s="6">
        <f t="shared" si="125"/>
        <v>0</v>
      </c>
      <c r="M375" s="85"/>
      <c r="N375" s="85"/>
      <c r="O375" s="85"/>
      <c r="P375" s="85"/>
      <c r="Q375" s="85"/>
      <c r="R375" s="85"/>
      <c r="S375" s="85"/>
      <c r="T375" s="85"/>
      <c r="U375" s="88"/>
      <c r="V375" s="88"/>
      <c r="W375" s="85"/>
      <c r="X375" s="85"/>
      <c r="Y375" s="15" t="e">
        <f t="shared" si="140"/>
        <v>#DIV/0!</v>
      </c>
      <c r="Z375" s="16">
        <v>0</v>
      </c>
      <c r="AA375" s="12" t="str">
        <f t="shared" si="127"/>
        <v/>
      </c>
      <c r="AB375" s="12" t="str">
        <f t="shared" si="128"/>
        <v/>
      </c>
      <c r="AC375" s="13" t="e">
        <f t="shared" si="141"/>
        <v>#DIV/0!</v>
      </c>
      <c r="AD375" s="13" t="e">
        <f t="shared" si="129"/>
        <v>#DIV/0!</v>
      </c>
      <c r="AE375" s="13"/>
      <c r="AF375" s="12" t="str">
        <f t="shared" si="116"/>
        <v/>
      </c>
      <c r="AG375" s="12" t="str">
        <f t="shared" si="117"/>
        <v/>
      </c>
      <c r="AH375" s="12" t="str">
        <f t="shared" si="118"/>
        <v/>
      </c>
      <c r="AI375" s="12" t="str">
        <f t="shared" si="131"/>
        <v/>
      </c>
      <c r="AJ375" s="12" t="str">
        <f t="shared" si="132"/>
        <v/>
      </c>
      <c r="AK375" s="12" t="str">
        <f t="shared" si="133"/>
        <v/>
      </c>
      <c r="AL375" s="12"/>
      <c r="AM375" s="13" t="e">
        <f t="shared" si="134"/>
        <v>#DIV/0!</v>
      </c>
      <c r="AN375" s="13" t="e">
        <f t="shared" si="135"/>
        <v>#DIV/0!</v>
      </c>
      <c r="AO375" s="13" t="e">
        <f t="shared" si="136"/>
        <v>#DIV/0!</v>
      </c>
      <c r="AP375" s="13" t="e">
        <f t="shared" si="137"/>
        <v>#DIV/0!</v>
      </c>
      <c r="AQ375" s="12">
        <f t="shared" si="138"/>
        <v>0</v>
      </c>
      <c r="AR375" s="13" t="e">
        <f t="shared" si="139"/>
        <v>#DIV/0!</v>
      </c>
      <c r="AS375" s="91" t="s">
        <v>353</v>
      </c>
      <c r="AT375" s="94"/>
      <c r="AU375" s="94"/>
    </row>
    <row r="376" spans="1:47" x14ac:dyDescent="0.25">
      <c r="A376" s="87">
        <v>46066</v>
      </c>
      <c r="B376" s="10" t="str">
        <f t="shared" si="144"/>
        <v>2026</v>
      </c>
      <c r="C376" s="10" t="str">
        <f t="shared" si="145"/>
        <v>February</v>
      </c>
      <c r="D376" s="84" t="s">
        <v>325</v>
      </c>
      <c r="E376" s="90"/>
      <c r="F376" s="12">
        <f t="shared" si="143"/>
        <v>0</v>
      </c>
      <c r="G376" s="12" t="str">
        <f t="shared" si="124"/>
        <v/>
      </c>
      <c r="H376" s="88"/>
      <c r="I376" s="89">
        <v>0</v>
      </c>
      <c r="J376" s="85"/>
      <c r="K376" s="85"/>
      <c r="L376" s="6">
        <f t="shared" si="125"/>
        <v>0</v>
      </c>
      <c r="M376" s="85"/>
      <c r="N376" s="85"/>
      <c r="O376" s="85"/>
      <c r="P376" s="85"/>
      <c r="Q376" s="85"/>
      <c r="R376" s="85"/>
      <c r="S376" s="85"/>
      <c r="T376" s="85"/>
      <c r="U376" s="88"/>
      <c r="V376" s="88"/>
      <c r="W376" s="85"/>
      <c r="X376" s="85"/>
      <c r="Y376" s="15" t="e">
        <f t="shared" si="140"/>
        <v>#DIV/0!</v>
      </c>
      <c r="Z376" s="16">
        <v>0</v>
      </c>
      <c r="AA376" s="12" t="str">
        <f t="shared" si="127"/>
        <v/>
      </c>
      <c r="AB376" s="12" t="str">
        <f t="shared" si="128"/>
        <v/>
      </c>
      <c r="AC376" s="13" t="e">
        <f t="shared" si="141"/>
        <v>#DIV/0!</v>
      </c>
      <c r="AD376" s="13" t="e">
        <f t="shared" si="129"/>
        <v>#DIV/0!</v>
      </c>
      <c r="AE376" s="13"/>
      <c r="AF376" s="12" t="str">
        <f t="shared" si="116"/>
        <v/>
      </c>
      <c r="AG376" s="12" t="str">
        <f t="shared" si="117"/>
        <v/>
      </c>
      <c r="AH376" s="12" t="str">
        <f t="shared" si="118"/>
        <v/>
      </c>
      <c r="AI376" s="12" t="str">
        <f t="shared" si="131"/>
        <v/>
      </c>
      <c r="AJ376" s="12" t="str">
        <f t="shared" si="132"/>
        <v/>
      </c>
      <c r="AK376" s="12" t="str">
        <f t="shared" si="133"/>
        <v/>
      </c>
      <c r="AL376" s="12"/>
      <c r="AM376" s="13" t="e">
        <f t="shared" si="134"/>
        <v>#DIV/0!</v>
      </c>
      <c r="AN376" s="13" t="e">
        <f t="shared" si="135"/>
        <v>#DIV/0!</v>
      </c>
      <c r="AO376" s="13" t="e">
        <f t="shared" si="136"/>
        <v>#DIV/0!</v>
      </c>
      <c r="AP376" s="13" t="e">
        <f t="shared" si="137"/>
        <v>#DIV/0!</v>
      </c>
      <c r="AQ376" s="12">
        <f t="shared" si="138"/>
        <v>0</v>
      </c>
      <c r="AR376" s="13" t="e">
        <f t="shared" si="139"/>
        <v>#DIV/0!</v>
      </c>
      <c r="AS376" s="91" t="s">
        <v>354</v>
      </c>
      <c r="AT376" s="94"/>
      <c r="AU376" s="94"/>
    </row>
    <row r="377" spans="1:47" x14ac:dyDescent="0.25">
      <c r="A377" s="87">
        <v>46069</v>
      </c>
      <c r="B377" s="10" t="str">
        <f t="shared" si="144"/>
        <v>2026</v>
      </c>
      <c r="C377" s="10" t="str">
        <f t="shared" si="145"/>
        <v>February</v>
      </c>
      <c r="D377" s="84" t="s">
        <v>325</v>
      </c>
      <c r="E377" s="90">
        <v>309</v>
      </c>
      <c r="F377" s="12">
        <f t="shared" si="143"/>
        <v>4171.5</v>
      </c>
      <c r="G377" s="12">
        <f t="shared" si="124"/>
        <v>1042.875</v>
      </c>
      <c r="H377" s="88" t="s">
        <v>31</v>
      </c>
      <c r="I377" s="89">
        <v>0</v>
      </c>
      <c r="J377" s="85">
        <v>57</v>
      </c>
      <c r="K377" s="85"/>
      <c r="L377" s="6">
        <f t="shared" si="125"/>
        <v>2863</v>
      </c>
      <c r="M377" s="85">
        <v>1218</v>
      </c>
      <c r="N377" s="85">
        <v>1645</v>
      </c>
      <c r="O377" s="85"/>
      <c r="P377" s="85">
        <v>1520</v>
      </c>
      <c r="Q377" s="85">
        <v>0</v>
      </c>
      <c r="R377" s="85">
        <v>0</v>
      </c>
      <c r="S377" s="85">
        <v>0</v>
      </c>
      <c r="T377" s="85">
        <v>0</v>
      </c>
      <c r="U377" s="88" t="s">
        <v>326</v>
      </c>
      <c r="V377" s="88" t="s">
        <v>133</v>
      </c>
      <c r="W377" s="85">
        <v>12</v>
      </c>
      <c r="X377" s="85">
        <v>4</v>
      </c>
      <c r="Y377" s="15">
        <f t="shared" si="140"/>
        <v>2.3333333333333335</v>
      </c>
      <c r="Z377" s="16">
        <f t="shared" si="126"/>
        <v>0.33333333333333331</v>
      </c>
      <c r="AA377" s="12">
        <f t="shared" si="127"/>
        <v>0</v>
      </c>
      <c r="AB377" s="12">
        <f t="shared" si="128"/>
        <v>0</v>
      </c>
      <c r="AC377" s="13">
        <f t="shared" si="141"/>
        <v>0</v>
      </c>
      <c r="AD377" s="13">
        <f t="shared" si="129"/>
        <v>0</v>
      </c>
      <c r="AE377" s="13">
        <f t="shared" si="130"/>
        <v>715.75</v>
      </c>
      <c r="AF377" s="12">
        <f t="shared" si="116"/>
        <v>304.5</v>
      </c>
      <c r="AG377" s="12">
        <f t="shared" si="117"/>
        <v>411.25</v>
      </c>
      <c r="AH377" s="12">
        <f t="shared" si="118"/>
        <v>0</v>
      </c>
      <c r="AI377" s="12">
        <f t="shared" si="131"/>
        <v>0.29198130169003955</v>
      </c>
      <c r="AJ377" s="12">
        <f t="shared" si="132"/>
        <v>0.39434256262735229</v>
      </c>
      <c r="AK377" s="12">
        <f t="shared" si="133"/>
        <v>0</v>
      </c>
      <c r="AL377" s="12">
        <f t="shared" si="122"/>
        <v>0.6863238643173919</v>
      </c>
      <c r="AM377" s="13">
        <f t="shared" si="134"/>
        <v>0</v>
      </c>
      <c r="AN377" s="13">
        <f t="shared" si="135"/>
        <v>380</v>
      </c>
      <c r="AO377" s="13">
        <f t="shared" si="136"/>
        <v>0</v>
      </c>
      <c r="AP377" s="13">
        <f t="shared" si="137"/>
        <v>0</v>
      </c>
      <c r="AQ377" s="12">
        <f t="shared" si="138"/>
        <v>4383</v>
      </c>
      <c r="AR377" s="13">
        <f t="shared" si="139"/>
        <v>1095.75</v>
      </c>
      <c r="AS377" s="91" t="s">
        <v>355</v>
      </c>
      <c r="AT377" s="94"/>
      <c r="AU377" s="94"/>
    </row>
    <row r="378" spans="1:47" x14ac:dyDescent="0.25">
      <c r="A378" s="87">
        <v>46070</v>
      </c>
      <c r="B378" s="10" t="str">
        <f t="shared" si="144"/>
        <v>2026</v>
      </c>
      <c r="C378" s="10" t="str">
        <f t="shared" si="145"/>
        <v>February</v>
      </c>
      <c r="D378" s="84" t="s">
        <v>325</v>
      </c>
      <c r="E378" s="90">
        <v>575</v>
      </c>
      <c r="F378" s="12">
        <f t="shared" si="143"/>
        <v>7762.5</v>
      </c>
      <c r="G378" s="12">
        <f t="shared" si="124"/>
        <v>995.19230769230774</v>
      </c>
      <c r="H378" s="88" t="s">
        <v>31</v>
      </c>
      <c r="I378" s="89">
        <v>0</v>
      </c>
      <c r="J378" s="85">
        <v>57</v>
      </c>
      <c r="K378" s="85"/>
      <c r="L378" s="6">
        <f t="shared" si="125"/>
        <v>5280</v>
      </c>
      <c r="M378" s="85">
        <v>2308</v>
      </c>
      <c r="N378" s="85">
        <v>2972</v>
      </c>
      <c r="O378" s="85"/>
      <c r="P378" s="85">
        <v>2964</v>
      </c>
      <c r="Q378" s="85">
        <v>0</v>
      </c>
      <c r="R378" s="85">
        <v>0</v>
      </c>
      <c r="S378" s="85">
        <v>0</v>
      </c>
      <c r="T378" s="85">
        <v>0</v>
      </c>
      <c r="U378" s="88" t="s">
        <v>326</v>
      </c>
      <c r="V378" s="88" t="s">
        <v>133</v>
      </c>
      <c r="W378" s="85">
        <v>12</v>
      </c>
      <c r="X378" s="85">
        <v>7.8</v>
      </c>
      <c r="Y378" s="15">
        <f t="shared" si="140"/>
        <v>4.55</v>
      </c>
      <c r="Z378" s="16">
        <f t="shared" si="126"/>
        <v>0.65</v>
      </c>
      <c r="AA378" s="12">
        <f t="shared" si="127"/>
        <v>0</v>
      </c>
      <c r="AB378" s="12">
        <f t="shared" si="128"/>
        <v>0</v>
      </c>
      <c r="AC378" s="13">
        <f t="shared" si="141"/>
        <v>0</v>
      </c>
      <c r="AD378" s="13">
        <f t="shared" si="129"/>
        <v>0</v>
      </c>
      <c r="AE378" s="13">
        <f t="shared" si="130"/>
        <v>676.92307692307691</v>
      </c>
      <c r="AF378" s="12">
        <f t="shared" si="116"/>
        <v>295.89743589743591</v>
      </c>
      <c r="AG378" s="12">
        <f t="shared" si="117"/>
        <v>381.02564102564105</v>
      </c>
      <c r="AH378" s="12">
        <f t="shared" si="118"/>
        <v>0</v>
      </c>
      <c r="AI378" s="12">
        <f t="shared" si="131"/>
        <v>0.29732689210950081</v>
      </c>
      <c r="AJ378" s="12">
        <f t="shared" si="132"/>
        <v>0.38286634460547503</v>
      </c>
      <c r="AK378" s="12">
        <f t="shared" si="133"/>
        <v>0</v>
      </c>
      <c r="AL378" s="12">
        <f t="shared" si="122"/>
        <v>0.68019323671497589</v>
      </c>
      <c r="AM378" s="13">
        <f t="shared" si="134"/>
        <v>0</v>
      </c>
      <c r="AN378" s="13">
        <f t="shared" si="135"/>
        <v>380</v>
      </c>
      <c r="AO378" s="13">
        <f t="shared" si="136"/>
        <v>0</v>
      </c>
      <c r="AP378" s="13">
        <f t="shared" si="137"/>
        <v>0</v>
      </c>
      <c r="AQ378" s="12">
        <f t="shared" si="138"/>
        <v>8244</v>
      </c>
      <c r="AR378" s="13">
        <f t="shared" si="139"/>
        <v>1056.9230769230769</v>
      </c>
      <c r="AS378" s="91" t="s">
        <v>356</v>
      </c>
      <c r="AT378" s="94"/>
      <c r="AU378" s="94"/>
    </row>
    <row r="379" spans="1:47" x14ac:dyDescent="0.25">
      <c r="A379" s="87">
        <v>46071</v>
      </c>
      <c r="B379" s="10" t="str">
        <f t="shared" si="144"/>
        <v>2026</v>
      </c>
      <c r="C379" s="10" t="str">
        <f t="shared" si="145"/>
        <v>February</v>
      </c>
      <c r="D379" s="84" t="s">
        <v>325</v>
      </c>
      <c r="E379" s="90">
        <v>510</v>
      </c>
      <c r="F379" s="12">
        <f t="shared" si="143"/>
        <v>6885</v>
      </c>
      <c r="G379" s="12">
        <f t="shared" si="124"/>
        <v>1027.6119402985075</v>
      </c>
      <c r="H379" s="88" t="s">
        <v>31</v>
      </c>
      <c r="I379" s="89">
        <v>0</v>
      </c>
      <c r="J379" s="85">
        <v>57</v>
      </c>
      <c r="K379" s="85"/>
      <c r="L379" s="6">
        <f t="shared" si="125"/>
        <v>4029</v>
      </c>
      <c r="M379" s="85">
        <v>1658</v>
      </c>
      <c r="N379" s="85">
        <v>2371</v>
      </c>
      <c r="O379" s="85"/>
      <c r="P379" s="85">
        <v>2546</v>
      </c>
      <c r="Q379" s="85">
        <v>0</v>
      </c>
      <c r="R379" s="85">
        <v>0</v>
      </c>
      <c r="S379" s="85">
        <v>0</v>
      </c>
      <c r="T379" s="85">
        <v>0</v>
      </c>
      <c r="U379" s="88" t="s">
        <v>326</v>
      </c>
      <c r="V379" s="88" t="s">
        <v>133</v>
      </c>
      <c r="W379" s="85">
        <v>12</v>
      </c>
      <c r="X379" s="85">
        <v>6.7</v>
      </c>
      <c r="Y379" s="15">
        <f t="shared" si="140"/>
        <v>3.9083333333333337</v>
      </c>
      <c r="Z379" s="16">
        <f t="shared" si="126"/>
        <v>0.55833333333333335</v>
      </c>
      <c r="AA379" s="12">
        <f t="shared" si="127"/>
        <v>0</v>
      </c>
      <c r="AB379" s="12">
        <f t="shared" si="128"/>
        <v>0</v>
      </c>
      <c r="AC379" s="13">
        <f t="shared" si="141"/>
        <v>0</v>
      </c>
      <c r="AD379" s="13">
        <f t="shared" si="129"/>
        <v>0</v>
      </c>
      <c r="AE379" s="13">
        <f t="shared" si="130"/>
        <v>601.3432835820895</v>
      </c>
      <c r="AF379" s="12">
        <f t="shared" si="116"/>
        <v>247.46268656716418</v>
      </c>
      <c r="AG379" s="12">
        <f t="shared" si="117"/>
        <v>353.88059701492534</v>
      </c>
      <c r="AH379" s="12">
        <f t="shared" si="118"/>
        <v>0</v>
      </c>
      <c r="AI379" s="12">
        <f t="shared" si="131"/>
        <v>0.24081336238198983</v>
      </c>
      <c r="AJ379" s="12">
        <f t="shared" si="132"/>
        <v>0.34437182280319534</v>
      </c>
      <c r="AK379" s="12">
        <f t="shared" si="133"/>
        <v>0</v>
      </c>
      <c r="AL379" s="12">
        <f t="shared" si="122"/>
        <v>0.58518518518518514</v>
      </c>
      <c r="AM379" s="13">
        <f t="shared" si="134"/>
        <v>0</v>
      </c>
      <c r="AN379" s="13">
        <f t="shared" si="135"/>
        <v>380</v>
      </c>
      <c r="AO379" s="13">
        <f t="shared" si="136"/>
        <v>0</v>
      </c>
      <c r="AP379" s="13">
        <f t="shared" si="137"/>
        <v>0</v>
      </c>
      <c r="AQ379" s="12">
        <f t="shared" si="138"/>
        <v>6575</v>
      </c>
      <c r="AR379" s="13">
        <f t="shared" si="139"/>
        <v>981.3432835820895</v>
      </c>
      <c r="AS379" s="91" t="s">
        <v>357</v>
      </c>
      <c r="AT379" s="94"/>
      <c r="AU379" s="94"/>
    </row>
    <row r="380" spans="1:47" x14ac:dyDescent="0.25">
      <c r="A380" s="87">
        <v>46072</v>
      </c>
      <c r="B380" s="10" t="str">
        <f t="shared" si="144"/>
        <v>2026</v>
      </c>
      <c r="C380" s="10" t="str">
        <f t="shared" si="145"/>
        <v>February</v>
      </c>
      <c r="D380" s="84" t="s">
        <v>325</v>
      </c>
      <c r="E380" s="90">
        <v>645</v>
      </c>
      <c r="F380" s="12">
        <f t="shared" si="143"/>
        <v>8707.5</v>
      </c>
      <c r="G380" s="12">
        <f t="shared" ref="G380:G411" si="146">IF(X380="","",IF(X380=0,"",F380/X380))</f>
        <v>1130.8441558441559</v>
      </c>
      <c r="H380" s="88" t="s">
        <v>31</v>
      </c>
      <c r="I380" s="89">
        <v>0</v>
      </c>
      <c r="J380" s="85">
        <v>57</v>
      </c>
      <c r="K380" s="85"/>
      <c r="L380" s="6">
        <f t="shared" si="125"/>
        <v>5206</v>
      </c>
      <c r="M380" s="85">
        <v>2247</v>
      </c>
      <c r="N380" s="85">
        <v>2959</v>
      </c>
      <c r="O380" s="85"/>
      <c r="P380" s="85">
        <v>2926</v>
      </c>
      <c r="Q380" s="85">
        <v>0</v>
      </c>
      <c r="R380" s="85">
        <v>0</v>
      </c>
      <c r="S380" s="85">
        <v>0</v>
      </c>
      <c r="T380" s="85">
        <v>0</v>
      </c>
      <c r="U380" s="88" t="s">
        <v>326</v>
      </c>
      <c r="V380" s="88" t="s">
        <v>133</v>
      </c>
      <c r="W380" s="85">
        <v>12</v>
      </c>
      <c r="X380" s="85">
        <v>7.7</v>
      </c>
      <c r="Y380" s="15">
        <f t="shared" si="140"/>
        <v>4.4916666666666671</v>
      </c>
      <c r="Z380" s="16">
        <f t="shared" si="126"/>
        <v>0.64166666666666672</v>
      </c>
      <c r="AA380" s="12">
        <f t="shared" si="127"/>
        <v>0</v>
      </c>
      <c r="AB380" s="12">
        <f t="shared" ref="AB380:AB411" si="147">IF(X380="","",IF(X380=0,"",K380/F380))</f>
        <v>0</v>
      </c>
      <c r="AC380" s="13">
        <f t="shared" si="141"/>
        <v>0</v>
      </c>
      <c r="AD380" s="13">
        <f t="shared" ref="AD380:AD411" si="148">I380/X380</f>
        <v>0</v>
      </c>
      <c r="AE380" s="13">
        <f t="shared" si="130"/>
        <v>676.10389610389609</v>
      </c>
      <c r="AF380" s="12">
        <f t="shared" si="116"/>
        <v>291.81818181818181</v>
      </c>
      <c r="AG380" s="12">
        <f t="shared" si="117"/>
        <v>384.28571428571428</v>
      </c>
      <c r="AH380" s="12">
        <f t="shared" si="118"/>
        <v>0</v>
      </c>
      <c r="AI380" s="12">
        <f t="shared" ref="AI380:AI411" si="149">IF(X380="","",IF(X380=0,"",M380/F380))</f>
        <v>0.25805340223944873</v>
      </c>
      <c r="AJ380" s="12">
        <f t="shared" ref="AJ380:AJ411" si="150">IF(X380="","",IF(X380=0,"",N380/F380))</f>
        <v>0.33982199253517081</v>
      </c>
      <c r="AK380" s="12">
        <f t="shared" ref="AK380:AK411" si="151">IF(X380="","",IF(X380=0,"",O380/F380))</f>
        <v>0</v>
      </c>
      <c r="AL380" s="12">
        <f t="shared" si="122"/>
        <v>0.5978753947746196</v>
      </c>
      <c r="AM380" s="13">
        <f t="shared" si="134"/>
        <v>0</v>
      </c>
      <c r="AN380" s="13">
        <f t="shared" si="135"/>
        <v>380</v>
      </c>
      <c r="AO380" s="13">
        <f t="shared" si="136"/>
        <v>0</v>
      </c>
      <c r="AP380" s="13">
        <f t="shared" si="137"/>
        <v>0</v>
      </c>
      <c r="AQ380" s="12">
        <f t="shared" ref="AQ380:AQ411" si="152">R380+Q380+P380+L380+I380</f>
        <v>8132</v>
      </c>
      <c r="AR380" s="13">
        <f t="shared" si="139"/>
        <v>1056.1038961038962</v>
      </c>
      <c r="AS380" s="91" t="s">
        <v>358</v>
      </c>
      <c r="AT380" s="94"/>
      <c r="AU380" s="94"/>
    </row>
    <row r="381" spans="1:47" x14ac:dyDescent="0.25">
      <c r="A381" s="87">
        <v>46073</v>
      </c>
      <c r="B381" s="10" t="str">
        <f t="shared" si="144"/>
        <v>2026</v>
      </c>
      <c r="C381" s="10" t="str">
        <f t="shared" si="145"/>
        <v>February</v>
      </c>
      <c r="D381" s="84" t="s">
        <v>325</v>
      </c>
      <c r="E381" s="90">
        <v>649</v>
      </c>
      <c r="F381" s="12">
        <f t="shared" si="143"/>
        <v>8761.5</v>
      </c>
      <c r="G381" s="12">
        <f t="shared" si="146"/>
        <v>1068.4756097560976</v>
      </c>
      <c r="H381" s="88" t="s">
        <v>31</v>
      </c>
      <c r="I381" s="89">
        <v>0</v>
      </c>
      <c r="J381" s="85">
        <v>57</v>
      </c>
      <c r="K381" s="85"/>
      <c r="L381" s="6">
        <f t="shared" si="125"/>
        <v>5361</v>
      </c>
      <c r="M381" s="85">
        <v>2244</v>
      </c>
      <c r="N381" s="85">
        <v>3117</v>
      </c>
      <c r="O381" s="85"/>
      <c r="P381" s="85">
        <v>3116</v>
      </c>
      <c r="Q381" s="85">
        <v>0</v>
      </c>
      <c r="R381" s="85">
        <v>0</v>
      </c>
      <c r="S381" s="85">
        <v>0</v>
      </c>
      <c r="T381" s="85">
        <v>0</v>
      </c>
      <c r="U381" s="88" t="s">
        <v>326</v>
      </c>
      <c r="V381" s="88" t="s">
        <v>133</v>
      </c>
      <c r="W381" s="85">
        <v>12</v>
      </c>
      <c r="X381" s="85">
        <v>8.1999999999999993</v>
      </c>
      <c r="Y381" s="15">
        <f t="shared" si="140"/>
        <v>4.7833333333333332</v>
      </c>
      <c r="Z381" s="16">
        <f t="shared" si="126"/>
        <v>0.68333333333333324</v>
      </c>
      <c r="AA381" s="12">
        <f t="shared" si="127"/>
        <v>0</v>
      </c>
      <c r="AB381" s="12">
        <f t="shared" si="147"/>
        <v>0</v>
      </c>
      <c r="AC381" s="13">
        <f t="shared" si="141"/>
        <v>0</v>
      </c>
      <c r="AD381" s="13">
        <f t="shared" si="148"/>
        <v>0</v>
      </c>
      <c r="AE381" s="13">
        <f t="shared" si="130"/>
        <v>653.78048780487813</v>
      </c>
      <c r="AF381" s="12">
        <f t="shared" si="116"/>
        <v>273.65853658536588</v>
      </c>
      <c r="AG381" s="12">
        <f t="shared" si="117"/>
        <v>380.12195121951225</v>
      </c>
      <c r="AH381" s="12">
        <f t="shared" si="118"/>
        <v>0</v>
      </c>
      <c r="AI381" s="12">
        <f t="shared" si="149"/>
        <v>0.25612052730696799</v>
      </c>
      <c r="AJ381" s="12">
        <f t="shared" si="150"/>
        <v>0.35576099982879644</v>
      </c>
      <c r="AK381" s="12">
        <f t="shared" si="151"/>
        <v>0</v>
      </c>
      <c r="AL381" s="12">
        <f t="shared" si="122"/>
        <v>0.61188152713576449</v>
      </c>
      <c r="AM381" s="13">
        <f t="shared" si="134"/>
        <v>0</v>
      </c>
      <c r="AN381" s="13">
        <f t="shared" si="135"/>
        <v>380.00000000000006</v>
      </c>
      <c r="AO381" s="13">
        <f t="shared" si="136"/>
        <v>0</v>
      </c>
      <c r="AP381" s="13">
        <f t="shared" si="137"/>
        <v>0</v>
      </c>
      <c r="AQ381" s="12">
        <f t="shared" si="152"/>
        <v>8477</v>
      </c>
      <c r="AR381" s="13">
        <f t="shared" si="139"/>
        <v>1033.7804878048782</v>
      </c>
      <c r="AS381" s="91" t="s">
        <v>359</v>
      </c>
      <c r="AT381" s="94"/>
      <c r="AU381" s="94"/>
    </row>
    <row r="382" spans="1:47" x14ac:dyDescent="0.25">
      <c r="A382" s="87">
        <v>46076</v>
      </c>
      <c r="B382" s="10" t="str">
        <f t="shared" si="144"/>
        <v>2026</v>
      </c>
      <c r="C382" s="10" t="str">
        <f t="shared" si="145"/>
        <v>February</v>
      </c>
      <c r="D382" s="84" t="s">
        <v>325</v>
      </c>
      <c r="E382" s="90"/>
      <c r="F382" s="12">
        <f t="shared" si="143"/>
        <v>0</v>
      </c>
      <c r="G382" s="12" t="str">
        <f t="shared" si="146"/>
        <v/>
      </c>
      <c r="H382" s="88"/>
      <c r="I382" s="89">
        <v>0</v>
      </c>
      <c r="J382" s="85"/>
      <c r="K382" s="85"/>
      <c r="L382" s="6">
        <f t="shared" si="125"/>
        <v>0</v>
      </c>
      <c r="M382" s="85"/>
      <c r="N382" s="85"/>
      <c r="O382" s="85"/>
      <c r="P382" s="85"/>
      <c r="Q382" s="85"/>
      <c r="R382" s="85"/>
      <c r="S382" s="85"/>
      <c r="T382" s="85"/>
      <c r="U382" s="88"/>
      <c r="V382" s="88"/>
      <c r="W382" s="85"/>
      <c r="X382" s="85"/>
      <c r="Y382" s="15" t="e">
        <f t="shared" si="140"/>
        <v>#DIV/0!</v>
      </c>
      <c r="Z382" s="16">
        <v>0</v>
      </c>
      <c r="AA382" s="12" t="str">
        <f t="shared" si="127"/>
        <v/>
      </c>
      <c r="AB382" s="12" t="str">
        <f t="shared" si="147"/>
        <v/>
      </c>
      <c r="AC382" s="13" t="e">
        <f t="shared" si="141"/>
        <v>#DIV/0!</v>
      </c>
      <c r="AD382" s="13" t="e">
        <f t="shared" si="148"/>
        <v>#DIV/0!</v>
      </c>
      <c r="AE382" s="13"/>
      <c r="AF382" s="12" t="str">
        <f t="shared" si="116"/>
        <v/>
      </c>
      <c r="AG382" s="12" t="str">
        <f t="shared" si="117"/>
        <v/>
      </c>
      <c r="AH382" s="12" t="str">
        <f t="shared" si="118"/>
        <v/>
      </c>
      <c r="AI382" s="12" t="str">
        <f t="shared" si="149"/>
        <v/>
      </c>
      <c r="AJ382" s="12" t="str">
        <f t="shared" si="150"/>
        <v/>
      </c>
      <c r="AK382" s="12" t="str">
        <f t="shared" si="151"/>
        <v/>
      </c>
      <c r="AL382" s="12"/>
      <c r="AM382" s="13" t="e">
        <f t="shared" si="134"/>
        <v>#DIV/0!</v>
      </c>
      <c r="AN382" s="13" t="e">
        <f t="shared" si="135"/>
        <v>#DIV/0!</v>
      </c>
      <c r="AO382" s="13" t="e">
        <f t="shared" si="136"/>
        <v>#DIV/0!</v>
      </c>
      <c r="AP382" s="13" t="e">
        <f t="shared" si="137"/>
        <v>#DIV/0!</v>
      </c>
      <c r="AQ382" s="12">
        <f t="shared" si="152"/>
        <v>0</v>
      </c>
      <c r="AR382" s="13" t="e">
        <f t="shared" si="139"/>
        <v>#DIV/0!</v>
      </c>
      <c r="AS382" s="91" t="s">
        <v>360</v>
      </c>
      <c r="AT382" s="94"/>
      <c r="AU382" s="94"/>
    </row>
    <row r="383" spans="1:47" x14ac:dyDescent="0.25">
      <c r="A383" s="87">
        <v>46077</v>
      </c>
      <c r="B383" s="10" t="str">
        <f t="shared" si="144"/>
        <v>2026</v>
      </c>
      <c r="C383" s="10" t="str">
        <f t="shared" si="145"/>
        <v>February</v>
      </c>
      <c r="D383" s="84" t="s">
        <v>325</v>
      </c>
      <c r="E383" s="90">
        <v>655</v>
      </c>
      <c r="F383" s="12">
        <f t="shared" si="143"/>
        <v>8842.5</v>
      </c>
      <c r="G383" s="12">
        <f t="shared" si="146"/>
        <v>940.69148936170211</v>
      </c>
      <c r="H383" s="88" t="s">
        <v>31</v>
      </c>
      <c r="I383" s="89">
        <v>0</v>
      </c>
      <c r="J383" s="85">
        <v>57</v>
      </c>
      <c r="K383" s="85"/>
      <c r="L383" s="6">
        <f t="shared" si="125"/>
        <v>6100</v>
      </c>
      <c r="M383" s="85">
        <v>2545</v>
      </c>
      <c r="N383" s="85">
        <v>3555</v>
      </c>
      <c r="O383" s="85"/>
      <c r="P383" s="85">
        <v>3572</v>
      </c>
      <c r="Q383" s="85">
        <v>0</v>
      </c>
      <c r="R383" s="85">
        <v>0</v>
      </c>
      <c r="S383" s="85">
        <v>0</v>
      </c>
      <c r="T383" s="85">
        <v>0</v>
      </c>
      <c r="U383" s="88" t="s">
        <v>326</v>
      </c>
      <c r="V383" s="88" t="s">
        <v>133</v>
      </c>
      <c r="W383" s="85">
        <v>12</v>
      </c>
      <c r="X383" s="85">
        <v>9.4</v>
      </c>
      <c r="Y383" s="15">
        <f t="shared" si="140"/>
        <v>5.4833333333333343</v>
      </c>
      <c r="Z383" s="16">
        <f t="shared" si="126"/>
        <v>0.78333333333333333</v>
      </c>
      <c r="AA383" s="12">
        <f t="shared" si="127"/>
        <v>0</v>
      </c>
      <c r="AB383" s="12">
        <f t="shared" si="147"/>
        <v>0</v>
      </c>
      <c r="AC383" s="13">
        <f t="shared" si="141"/>
        <v>0</v>
      </c>
      <c r="AD383" s="13">
        <f t="shared" si="148"/>
        <v>0</v>
      </c>
      <c r="AE383" s="13">
        <f t="shared" si="130"/>
        <v>648.93617021276589</v>
      </c>
      <c r="AF383" s="12">
        <f t="shared" si="116"/>
        <v>270.74468085106383</v>
      </c>
      <c r="AG383" s="12">
        <f t="shared" si="117"/>
        <v>378.19148936170211</v>
      </c>
      <c r="AH383" s="12">
        <f t="shared" si="118"/>
        <v>0</v>
      </c>
      <c r="AI383" s="12">
        <f t="shared" si="149"/>
        <v>0.28781453208934127</v>
      </c>
      <c r="AJ383" s="12">
        <f t="shared" si="150"/>
        <v>0.4020356234096692</v>
      </c>
      <c r="AK383" s="12">
        <f t="shared" si="151"/>
        <v>0</v>
      </c>
      <c r="AL383" s="12">
        <f t="shared" si="122"/>
        <v>0.68985015549901041</v>
      </c>
      <c r="AM383" s="13">
        <f t="shared" si="134"/>
        <v>0</v>
      </c>
      <c r="AN383" s="13">
        <f t="shared" si="135"/>
        <v>380</v>
      </c>
      <c r="AO383" s="13">
        <f t="shared" si="136"/>
        <v>0</v>
      </c>
      <c r="AP383" s="13">
        <f t="shared" si="137"/>
        <v>0</v>
      </c>
      <c r="AQ383" s="12">
        <f t="shared" si="152"/>
        <v>9672</v>
      </c>
      <c r="AR383" s="13">
        <f t="shared" si="139"/>
        <v>1028.9361702127658</v>
      </c>
      <c r="AS383" s="91" t="s">
        <v>361</v>
      </c>
      <c r="AT383" s="94"/>
      <c r="AU383" s="94"/>
    </row>
    <row r="384" spans="1:47" x14ac:dyDescent="0.25">
      <c r="A384" s="87">
        <v>46078</v>
      </c>
      <c r="B384" s="10" t="str">
        <f t="shared" si="144"/>
        <v>2026</v>
      </c>
      <c r="C384" s="10" t="str">
        <f t="shared" si="145"/>
        <v>February</v>
      </c>
      <c r="D384" s="84" t="s">
        <v>325</v>
      </c>
      <c r="E384" s="90">
        <v>644</v>
      </c>
      <c r="F384" s="12">
        <f t="shared" si="143"/>
        <v>8694</v>
      </c>
      <c r="G384" s="12">
        <f t="shared" si="146"/>
        <v>1086.75</v>
      </c>
      <c r="H384" s="88" t="s">
        <v>31</v>
      </c>
      <c r="I384" s="89">
        <v>0</v>
      </c>
      <c r="J384" s="85">
        <v>57</v>
      </c>
      <c r="K384" s="85"/>
      <c r="L384" s="6">
        <f t="shared" si="125"/>
        <v>5676</v>
      </c>
      <c r="M384" s="85">
        <v>2362</v>
      </c>
      <c r="N384" s="85">
        <v>3314</v>
      </c>
      <c r="O384" s="85"/>
      <c r="P384" s="85">
        <v>3040</v>
      </c>
      <c r="Q384" s="85">
        <v>0</v>
      </c>
      <c r="R384" s="85">
        <v>0</v>
      </c>
      <c r="S384" s="85">
        <v>0</v>
      </c>
      <c r="T384" s="85">
        <v>0</v>
      </c>
      <c r="U384" s="88" t="s">
        <v>326</v>
      </c>
      <c r="V384" s="88" t="s">
        <v>133</v>
      </c>
      <c r="W384" s="85">
        <v>12</v>
      </c>
      <c r="X384" s="85">
        <v>8</v>
      </c>
      <c r="Y384" s="15">
        <f t="shared" si="140"/>
        <v>4.666666666666667</v>
      </c>
      <c r="Z384" s="16">
        <f t="shared" si="126"/>
        <v>0.66666666666666663</v>
      </c>
      <c r="AA384" s="12">
        <f t="shared" si="127"/>
        <v>0</v>
      </c>
      <c r="AB384" s="12">
        <f t="shared" si="147"/>
        <v>0</v>
      </c>
      <c r="AC384" s="13">
        <f t="shared" si="141"/>
        <v>0</v>
      </c>
      <c r="AD384" s="13">
        <f t="shared" si="148"/>
        <v>0</v>
      </c>
      <c r="AE384" s="13">
        <f t="shared" si="130"/>
        <v>709.5</v>
      </c>
      <c r="AF384" s="12">
        <f t="shared" si="116"/>
        <v>295.25</v>
      </c>
      <c r="AG384" s="12">
        <f t="shared" si="117"/>
        <v>414.25</v>
      </c>
      <c r="AH384" s="12">
        <f t="shared" si="118"/>
        <v>0</v>
      </c>
      <c r="AI384" s="12">
        <f t="shared" si="149"/>
        <v>0.27168161950770647</v>
      </c>
      <c r="AJ384" s="12">
        <f t="shared" si="150"/>
        <v>0.38118242466068553</v>
      </c>
      <c r="AK384" s="12">
        <f t="shared" si="151"/>
        <v>0</v>
      </c>
      <c r="AL384" s="12">
        <f t="shared" si="122"/>
        <v>0.65286404416839194</v>
      </c>
      <c r="AM384" s="13">
        <f t="shared" si="134"/>
        <v>0</v>
      </c>
      <c r="AN384" s="13">
        <f t="shared" si="135"/>
        <v>380</v>
      </c>
      <c r="AO384" s="13">
        <f t="shared" si="136"/>
        <v>0</v>
      </c>
      <c r="AP384" s="13">
        <f t="shared" si="137"/>
        <v>0</v>
      </c>
      <c r="AQ384" s="12">
        <f t="shared" si="152"/>
        <v>8716</v>
      </c>
      <c r="AR384" s="13">
        <f t="shared" si="139"/>
        <v>1089.5</v>
      </c>
      <c r="AS384" s="91" t="s">
        <v>362</v>
      </c>
      <c r="AT384" s="94"/>
      <c r="AU384" s="94"/>
    </row>
    <row r="385" spans="1:47" x14ac:dyDescent="0.25">
      <c r="A385" s="87">
        <v>46079</v>
      </c>
      <c r="B385" s="10" t="str">
        <f t="shared" si="144"/>
        <v>2026</v>
      </c>
      <c r="C385" s="10" t="str">
        <f t="shared" si="145"/>
        <v>February</v>
      </c>
      <c r="D385" s="84" t="s">
        <v>325</v>
      </c>
      <c r="E385" s="90">
        <v>419</v>
      </c>
      <c r="F385" s="12">
        <f t="shared" si="143"/>
        <v>5656.5</v>
      </c>
      <c r="G385" s="12">
        <f t="shared" si="146"/>
        <v>554.55882352941182</v>
      </c>
      <c r="H385" s="88" t="s">
        <v>31</v>
      </c>
      <c r="I385" s="89">
        <v>0</v>
      </c>
      <c r="J385" s="85">
        <v>57</v>
      </c>
      <c r="K385" s="85"/>
      <c r="L385" s="6">
        <f t="shared" si="125"/>
        <v>4046</v>
      </c>
      <c r="M385" s="85">
        <v>1519</v>
      </c>
      <c r="N385" s="85">
        <v>2527</v>
      </c>
      <c r="O385" s="85"/>
      <c r="P385" s="85">
        <v>2528</v>
      </c>
      <c r="Q385" s="85">
        <v>0</v>
      </c>
      <c r="R385" s="85">
        <v>0</v>
      </c>
      <c r="S385" s="85">
        <v>0</v>
      </c>
      <c r="T385" s="85">
        <v>0</v>
      </c>
      <c r="U385" s="88" t="s">
        <v>326</v>
      </c>
      <c r="V385" s="88" t="s">
        <v>133</v>
      </c>
      <c r="W385" s="85">
        <v>12</v>
      </c>
      <c r="X385" s="85">
        <v>10.199999999999999</v>
      </c>
      <c r="Y385" s="15">
        <f t="shared" si="140"/>
        <v>5.95</v>
      </c>
      <c r="Z385" s="16">
        <f t="shared" si="126"/>
        <v>0.85</v>
      </c>
      <c r="AA385" s="12">
        <f t="shared" si="127"/>
        <v>0</v>
      </c>
      <c r="AB385" s="12">
        <f t="shared" si="147"/>
        <v>0</v>
      </c>
      <c r="AC385" s="13">
        <f t="shared" si="141"/>
        <v>0</v>
      </c>
      <c r="AD385" s="13">
        <f t="shared" si="148"/>
        <v>0</v>
      </c>
      <c r="AE385" s="13">
        <f t="shared" si="130"/>
        <v>396.66666666666669</v>
      </c>
      <c r="AF385" s="12">
        <f t="shared" si="116"/>
        <v>148.92156862745099</v>
      </c>
      <c r="AG385" s="12">
        <f t="shared" si="117"/>
        <v>247.74509803921569</v>
      </c>
      <c r="AH385" s="12">
        <f t="shared" si="118"/>
        <v>0</v>
      </c>
      <c r="AI385" s="12">
        <f t="shared" si="149"/>
        <v>0.26854061698930431</v>
      </c>
      <c r="AJ385" s="12">
        <f t="shared" si="150"/>
        <v>0.4467426854061699</v>
      </c>
      <c r="AK385" s="12">
        <f t="shared" si="151"/>
        <v>0</v>
      </c>
      <c r="AL385" s="12">
        <f t="shared" si="122"/>
        <v>0.71528330239547422</v>
      </c>
      <c r="AM385" s="13">
        <f t="shared" si="134"/>
        <v>0</v>
      </c>
      <c r="AN385" s="13">
        <f t="shared" si="135"/>
        <v>247.84313725490199</v>
      </c>
      <c r="AO385" s="13">
        <f t="shared" si="136"/>
        <v>0</v>
      </c>
      <c r="AP385" s="13">
        <f t="shared" si="137"/>
        <v>0</v>
      </c>
      <c r="AQ385" s="12">
        <f t="shared" si="152"/>
        <v>6574</v>
      </c>
      <c r="AR385" s="13">
        <f t="shared" si="139"/>
        <v>644.50980392156862</v>
      </c>
      <c r="AS385" s="91" t="s">
        <v>363</v>
      </c>
      <c r="AT385" s="94"/>
      <c r="AU385" s="94"/>
    </row>
    <row r="386" spans="1:47" x14ac:dyDescent="0.25">
      <c r="A386" s="87">
        <v>46080</v>
      </c>
      <c r="B386" s="10" t="str">
        <f t="shared" si="144"/>
        <v>2026</v>
      </c>
      <c r="C386" s="10" t="str">
        <f t="shared" si="145"/>
        <v>February</v>
      </c>
      <c r="D386" s="84" t="s">
        <v>325</v>
      </c>
      <c r="E386" s="90"/>
      <c r="F386" s="12">
        <f t="shared" si="143"/>
        <v>0</v>
      </c>
      <c r="G386" s="12" t="str">
        <f t="shared" si="146"/>
        <v/>
      </c>
      <c r="H386" s="88" t="s">
        <v>31</v>
      </c>
      <c r="I386" s="89">
        <v>0</v>
      </c>
      <c r="J386" s="85">
        <v>57</v>
      </c>
      <c r="K386" s="85"/>
      <c r="L386" s="6">
        <f t="shared" si="125"/>
        <v>0</v>
      </c>
      <c r="M386" s="85"/>
      <c r="N386" s="85"/>
      <c r="O386" s="85"/>
      <c r="P386" s="85"/>
      <c r="Q386" s="85"/>
      <c r="R386" s="85"/>
      <c r="S386" s="85"/>
      <c r="T386" s="85"/>
      <c r="U386" s="88"/>
      <c r="V386" s="88"/>
      <c r="W386" s="85"/>
      <c r="X386" s="85"/>
      <c r="Y386" s="15" t="e">
        <f t="shared" si="140"/>
        <v>#DIV/0!</v>
      </c>
      <c r="Z386" s="16">
        <v>0</v>
      </c>
      <c r="AA386" s="12" t="str">
        <f t="shared" si="127"/>
        <v/>
      </c>
      <c r="AB386" s="12" t="str">
        <f t="shared" si="147"/>
        <v/>
      </c>
      <c r="AC386" s="13" t="e">
        <f t="shared" si="141"/>
        <v>#DIV/0!</v>
      </c>
      <c r="AD386" s="13" t="e">
        <f t="shared" si="148"/>
        <v>#DIV/0!</v>
      </c>
      <c r="AE386" s="13"/>
      <c r="AF386" s="12" t="str">
        <f t="shared" si="116"/>
        <v/>
      </c>
      <c r="AG386" s="12" t="str">
        <f t="shared" si="117"/>
        <v/>
      </c>
      <c r="AH386" s="12" t="str">
        <f t="shared" si="118"/>
        <v/>
      </c>
      <c r="AI386" s="12" t="str">
        <f t="shared" si="149"/>
        <v/>
      </c>
      <c r="AJ386" s="12" t="str">
        <f t="shared" si="150"/>
        <v/>
      </c>
      <c r="AK386" s="12" t="str">
        <f t="shared" si="151"/>
        <v/>
      </c>
      <c r="AL386" s="12"/>
      <c r="AM386" s="13" t="e">
        <f t="shared" si="134"/>
        <v>#DIV/0!</v>
      </c>
      <c r="AN386" s="13" t="e">
        <f t="shared" si="135"/>
        <v>#DIV/0!</v>
      </c>
      <c r="AO386" s="13" t="e">
        <f t="shared" si="136"/>
        <v>#DIV/0!</v>
      </c>
      <c r="AP386" s="13" t="e">
        <f t="shared" si="137"/>
        <v>#DIV/0!</v>
      </c>
      <c r="AQ386" s="12">
        <f t="shared" si="152"/>
        <v>0</v>
      </c>
      <c r="AR386" s="13" t="e">
        <f t="shared" si="139"/>
        <v>#DIV/0!</v>
      </c>
      <c r="AS386" s="91" t="s">
        <v>364</v>
      </c>
      <c r="AT386" s="94"/>
      <c r="AU386" s="94"/>
    </row>
    <row r="387" spans="1:47" x14ac:dyDescent="0.25">
      <c r="A387" s="87">
        <v>46083</v>
      </c>
      <c r="B387" s="10" t="str">
        <f t="shared" si="144"/>
        <v>2026</v>
      </c>
      <c r="C387" s="10" t="str">
        <f t="shared" si="145"/>
        <v>March</v>
      </c>
      <c r="D387" s="84" t="s">
        <v>325</v>
      </c>
      <c r="E387" s="90"/>
      <c r="F387" s="12">
        <f t="shared" si="143"/>
        <v>0</v>
      </c>
      <c r="G387" s="12" t="str">
        <f t="shared" si="146"/>
        <v/>
      </c>
      <c r="H387" s="88" t="s">
        <v>31</v>
      </c>
      <c r="I387" s="89">
        <v>0</v>
      </c>
      <c r="J387" s="85">
        <v>57</v>
      </c>
      <c r="K387" s="85"/>
      <c r="L387" s="6">
        <f t="shared" si="125"/>
        <v>0</v>
      </c>
      <c r="M387" s="85"/>
      <c r="N387" s="85"/>
      <c r="O387" s="85"/>
      <c r="P387" s="85"/>
      <c r="Q387" s="85"/>
      <c r="R387" s="85"/>
      <c r="S387" s="85"/>
      <c r="T387" s="85"/>
      <c r="U387" s="88"/>
      <c r="V387" s="88"/>
      <c r="W387" s="85"/>
      <c r="X387" s="85"/>
      <c r="Y387" s="15" t="e">
        <f t="shared" si="140"/>
        <v>#DIV/0!</v>
      </c>
      <c r="Z387" s="16">
        <v>0</v>
      </c>
      <c r="AA387" s="12" t="str">
        <f t="shared" si="127"/>
        <v/>
      </c>
      <c r="AB387" s="12" t="str">
        <f t="shared" si="147"/>
        <v/>
      </c>
      <c r="AC387" s="13" t="e">
        <f t="shared" si="141"/>
        <v>#DIV/0!</v>
      </c>
      <c r="AD387" s="13" t="e">
        <f t="shared" si="148"/>
        <v>#DIV/0!</v>
      </c>
      <c r="AE387" s="13"/>
      <c r="AF387" s="12" t="str">
        <f t="shared" si="116"/>
        <v/>
      </c>
      <c r="AG387" s="12" t="str">
        <f t="shared" si="117"/>
        <v/>
      </c>
      <c r="AH387" s="12" t="str">
        <f t="shared" si="118"/>
        <v/>
      </c>
      <c r="AI387" s="12" t="str">
        <f t="shared" si="149"/>
        <v/>
      </c>
      <c r="AJ387" s="12" t="str">
        <f t="shared" si="150"/>
        <v/>
      </c>
      <c r="AK387" s="12" t="str">
        <f t="shared" si="151"/>
        <v/>
      </c>
      <c r="AL387" s="12"/>
      <c r="AM387" s="13" t="e">
        <f t="shared" si="134"/>
        <v>#DIV/0!</v>
      </c>
      <c r="AN387" s="13" t="e">
        <f t="shared" si="135"/>
        <v>#DIV/0!</v>
      </c>
      <c r="AO387" s="13" t="e">
        <f t="shared" si="136"/>
        <v>#DIV/0!</v>
      </c>
      <c r="AP387" s="13" t="e">
        <f t="shared" si="137"/>
        <v>#DIV/0!</v>
      </c>
      <c r="AQ387" s="12">
        <f t="shared" si="152"/>
        <v>0</v>
      </c>
      <c r="AR387" s="13" t="e">
        <f t="shared" si="139"/>
        <v>#DIV/0!</v>
      </c>
      <c r="AS387" s="91" t="s">
        <v>364</v>
      </c>
      <c r="AT387" s="94"/>
      <c r="AU387" s="94"/>
    </row>
    <row r="388" spans="1:47" x14ac:dyDescent="0.25">
      <c r="A388" s="87">
        <v>46084</v>
      </c>
      <c r="B388" s="10" t="str">
        <f t="shared" si="144"/>
        <v>2026</v>
      </c>
      <c r="C388" s="10" t="str">
        <f t="shared" si="145"/>
        <v>March</v>
      </c>
      <c r="D388" s="84" t="s">
        <v>325</v>
      </c>
      <c r="E388" s="90">
        <v>593</v>
      </c>
      <c r="F388" s="12">
        <f t="shared" si="143"/>
        <v>8005.5</v>
      </c>
      <c r="G388" s="12">
        <f t="shared" si="146"/>
        <v>976.28048780487813</v>
      </c>
      <c r="H388" s="88" t="s">
        <v>31</v>
      </c>
      <c r="I388" s="89">
        <v>0</v>
      </c>
      <c r="J388" s="85">
        <v>57</v>
      </c>
      <c r="K388" s="85"/>
      <c r="L388" s="6">
        <f t="shared" si="125"/>
        <v>5402</v>
      </c>
      <c r="M388" s="85">
        <v>2291</v>
      </c>
      <c r="N388" s="85">
        <v>3111</v>
      </c>
      <c r="O388" s="85"/>
      <c r="P388" s="85">
        <v>3116</v>
      </c>
      <c r="Q388" s="85">
        <v>0</v>
      </c>
      <c r="R388" s="85">
        <v>0</v>
      </c>
      <c r="S388" s="85">
        <v>0</v>
      </c>
      <c r="T388" s="85">
        <v>0</v>
      </c>
      <c r="U388" s="88" t="s">
        <v>326</v>
      </c>
      <c r="V388" s="88" t="s">
        <v>133</v>
      </c>
      <c r="W388" s="85">
        <v>12</v>
      </c>
      <c r="X388" s="85">
        <v>8.1999999999999993</v>
      </c>
      <c r="Y388" s="15">
        <f t="shared" si="140"/>
        <v>4.7833333333333332</v>
      </c>
      <c r="Z388" s="16">
        <f t="shared" si="126"/>
        <v>0.68333333333333324</v>
      </c>
      <c r="AA388" s="12">
        <f t="shared" si="127"/>
        <v>0</v>
      </c>
      <c r="AB388" s="12">
        <f t="shared" si="147"/>
        <v>0</v>
      </c>
      <c r="AC388" s="13">
        <f t="shared" si="141"/>
        <v>0</v>
      </c>
      <c r="AD388" s="13">
        <f t="shared" si="148"/>
        <v>0</v>
      </c>
      <c r="AE388" s="13">
        <f t="shared" si="130"/>
        <v>658.78048780487813</v>
      </c>
      <c r="AF388" s="12">
        <f t="shared" si="116"/>
        <v>279.39024390243907</v>
      </c>
      <c r="AG388" s="12">
        <f t="shared" si="117"/>
        <v>379.39024390243907</v>
      </c>
      <c r="AH388" s="12">
        <f t="shared" si="118"/>
        <v>0</v>
      </c>
      <c r="AI388" s="12">
        <f t="shared" si="149"/>
        <v>0.28617825245143963</v>
      </c>
      <c r="AJ388" s="12">
        <f t="shared" si="150"/>
        <v>0.38860783211542066</v>
      </c>
      <c r="AK388" s="12">
        <f t="shared" si="151"/>
        <v>0</v>
      </c>
      <c r="AL388" s="12">
        <f t="shared" si="122"/>
        <v>0.67478608456686029</v>
      </c>
      <c r="AM388" s="13">
        <f t="shared" si="134"/>
        <v>0</v>
      </c>
      <c r="AN388" s="13">
        <f t="shared" si="135"/>
        <v>380.00000000000006</v>
      </c>
      <c r="AO388" s="13">
        <f t="shared" si="136"/>
        <v>0</v>
      </c>
      <c r="AP388" s="13">
        <f t="shared" si="137"/>
        <v>0</v>
      </c>
      <c r="AQ388" s="12">
        <f t="shared" si="152"/>
        <v>8518</v>
      </c>
      <c r="AR388" s="13">
        <f t="shared" si="139"/>
        <v>1038.7804878048782</v>
      </c>
      <c r="AS388" s="91" t="s">
        <v>365</v>
      </c>
      <c r="AT388" s="94"/>
      <c r="AU388" s="94"/>
    </row>
    <row r="389" spans="1:47" x14ac:dyDescent="0.25">
      <c r="A389" s="87">
        <v>46085</v>
      </c>
      <c r="B389" s="10" t="str">
        <f t="shared" si="144"/>
        <v>2026</v>
      </c>
      <c r="C389" s="10" t="str">
        <f t="shared" si="145"/>
        <v>March</v>
      </c>
      <c r="D389" s="84" t="s">
        <v>325</v>
      </c>
      <c r="E389" s="90">
        <v>554</v>
      </c>
      <c r="F389" s="12">
        <f t="shared" si="143"/>
        <v>7479</v>
      </c>
      <c r="G389" s="12">
        <f t="shared" si="146"/>
        <v>946.70886075949363</v>
      </c>
      <c r="H389" s="88" t="s">
        <v>31</v>
      </c>
      <c r="I389" s="89">
        <v>0</v>
      </c>
      <c r="J389" s="85">
        <v>57</v>
      </c>
      <c r="K389" s="85"/>
      <c r="L389" s="6">
        <f t="shared" si="125"/>
        <v>4986</v>
      </c>
      <c r="M389" s="85">
        <v>2065</v>
      </c>
      <c r="N389" s="85">
        <v>2921</v>
      </c>
      <c r="O389" s="85"/>
      <c r="P389" s="85">
        <v>3040</v>
      </c>
      <c r="Q389" s="85">
        <v>0</v>
      </c>
      <c r="R389" s="85">
        <v>0</v>
      </c>
      <c r="S389" s="85">
        <v>0</v>
      </c>
      <c r="T389" s="85">
        <v>0</v>
      </c>
      <c r="U389" s="88" t="s">
        <v>326</v>
      </c>
      <c r="V389" s="88" t="s">
        <v>133</v>
      </c>
      <c r="W389" s="85">
        <v>12</v>
      </c>
      <c r="X389" s="85">
        <v>7.9</v>
      </c>
      <c r="Y389" s="15">
        <f t="shared" si="140"/>
        <v>4.6083333333333334</v>
      </c>
      <c r="Z389" s="16">
        <f t="shared" si="126"/>
        <v>0.65833333333333333</v>
      </c>
      <c r="AA389" s="12">
        <f t="shared" si="127"/>
        <v>0</v>
      </c>
      <c r="AB389" s="12">
        <f t="shared" si="147"/>
        <v>0</v>
      </c>
      <c r="AC389" s="13">
        <f t="shared" si="141"/>
        <v>0</v>
      </c>
      <c r="AD389" s="13">
        <f t="shared" si="148"/>
        <v>0</v>
      </c>
      <c r="AE389" s="13">
        <f t="shared" si="130"/>
        <v>631.13924050632909</v>
      </c>
      <c r="AF389" s="12">
        <f t="shared" si="116"/>
        <v>261.39240506329111</v>
      </c>
      <c r="AG389" s="12">
        <f t="shared" si="117"/>
        <v>369.74683544303798</v>
      </c>
      <c r="AH389" s="12">
        <f t="shared" si="118"/>
        <v>0</v>
      </c>
      <c r="AI389" s="12">
        <f t="shared" si="149"/>
        <v>0.27610643134108837</v>
      </c>
      <c r="AJ389" s="12">
        <f t="shared" si="150"/>
        <v>0.39056023532557826</v>
      </c>
      <c r="AK389" s="12">
        <f t="shared" si="151"/>
        <v>0</v>
      </c>
      <c r="AL389" s="12">
        <f t="shared" si="122"/>
        <v>0.66666666666666663</v>
      </c>
      <c r="AM389" s="13">
        <f t="shared" si="134"/>
        <v>0</v>
      </c>
      <c r="AN389" s="13">
        <f t="shared" si="135"/>
        <v>384.81012658227849</v>
      </c>
      <c r="AO389" s="13">
        <f t="shared" si="136"/>
        <v>0</v>
      </c>
      <c r="AP389" s="13">
        <f t="shared" si="137"/>
        <v>0</v>
      </c>
      <c r="AQ389" s="12">
        <f t="shared" si="152"/>
        <v>8026</v>
      </c>
      <c r="AR389" s="13">
        <f t="shared" si="139"/>
        <v>1015.9493670886076</v>
      </c>
      <c r="AS389" s="91" t="s">
        <v>366</v>
      </c>
      <c r="AT389" s="94"/>
      <c r="AU389" s="94"/>
    </row>
    <row r="390" spans="1:47" x14ac:dyDescent="0.25">
      <c r="A390" s="87">
        <v>46086</v>
      </c>
      <c r="B390" s="10" t="str">
        <f t="shared" si="144"/>
        <v>2026</v>
      </c>
      <c r="C390" s="10" t="str">
        <f t="shared" si="145"/>
        <v>March</v>
      </c>
      <c r="D390" s="84" t="s">
        <v>325</v>
      </c>
      <c r="E390" s="90">
        <v>503</v>
      </c>
      <c r="F390" s="12">
        <f t="shared" si="143"/>
        <v>6790.5</v>
      </c>
      <c r="G390" s="12">
        <f t="shared" si="146"/>
        <v>970.07142857142856</v>
      </c>
      <c r="H390" s="88" t="s">
        <v>63</v>
      </c>
      <c r="I390" s="89">
        <v>0</v>
      </c>
      <c r="J390" s="85">
        <v>57</v>
      </c>
      <c r="K390" s="85"/>
      <c r="L390" s="6">
        <v>4643</v>
      </c>
      <c r="M390" s="85">
        <v>2033</v>
      </c>
      <c r="N390" s="85">
        <v>2610</v>
      </c>
      <c r="O390" s="85"/>
      <c r="P390" s="85">
        <v>2736</v>
      </c>
      <c r="Q390" s="85">
        <v>0</v>
      </c>
      <c r="R390" s="85">
        <v>0</v>
      </c>
      <c r="S390" s="85">
        <v>0</v>
      </c>
      <c r="T390" s="85">
        <v>0</v>
      </c>
      <c r="U390" s="88" t="s">
        <v>326</v>
      </c>
      <c r="V390" s="88" t="s">
        <v>133</v>
      </c>
      <c r="W390" s="85">
        <v>12</v>
      </c>
      <c r="X390" s="85">
        <v>7</v>
      </c>
      <c r="Y390" s="15">
        <f t="shared" si="140"/>
        <v>4.0833333333333339</v>
      </c>
      <c r="Z390" s="16">
        <f t="shared" si="126"/>
        <v>0.58333333333333337</v>
      </c>
      <c r="AA390" s="12">
        <f t="shared" si="127"/>
        <v>0</v>
      </c>
      <c r="AB390" s="12">
        <f t="shared" si="147"/>
        <v>0</v>
      </c>
      <c r="AC390" s="13">
        <f t="shared" si="141"/>
        <v>0</v>
      </c>
      <c r="AD390" s="13">
        <f t="shared" si="148"/>
        <v>0</v>
      </c>
      <c r="AE390" s="13">
        <f t="shared" si="130"/>
        <v>663.28571428571433</v>
      </c>
      <c r="AF390" s="12">
        <f t="shared" si="116"/>
        <v>290.42857142857144</v>
      </c>
      <c r="AG390" s="12">
        <f t="shared" si="117"/>
        <v>372.85714285714283</v>
      </c>
      <c r="AH390" s="12">
        <f t="shared" si="118"/>
        <v>0</v>
      </c>
      <c r="AI390" s="12">
        <f t="shared" si="149"/>
        <v>0.29938885207274868</v>
      </c>
      <c r="AJ390" s="12">
        <f t="shared" si="150"/>
        <v>0.3843605036447979</v>
      </c>
      <c r="AK390" s="12">
        <f t="shared" si="151"/>
        <v>0</v>
      </c>
      <c r="AL390" s="12">
        <f t="shared" si="122"/>
        <v>0.68374935571754658</v>
      </c>
      <c r="AM390" s="13">
        <f t="shared" si="134"/>
        <v>0</v>
      </c>
      <c r="AN390" s="13">
        <f t="shared" si="135"/>
        <v>390.85714285714283</v>
      </c>
      <c r="AO390" s="13">
        <f t="shared" si="136"/>
        <v>0</v>
      </c>
      <c r="AP390" s="13">
        <f t="shared" si="137"/>
        <v>0</v>
      </c>
      <c r="AQ390" s="12">
        <f t="shared" si="152"/>
        <v>7379</v>
      </c>
      <c r="AR390" s="13">
        <f t="shared" si="139"/>
        <v>1054.1428571428571</v>
      </c>
      <c r="AS390" s="91" t="s">
        <v>367</v>
      </c>
      <c r="AT390" s="94"/>
      <c r="AU390" s="94"/>
    </row>
    <row r="391" spans="1:47" x14ac:dyDescent="0.25">
      <c r="A391" s="87">
        <v>46087</v>
      </c>
      <c r="B391" s="10" t="str">
        <f t="shared" si="144"/>
        <v>2026</v>
      </c>
      <c r="C391" s="10" t="str">
        <f t="shared" si="145"/>
        <v>March</v>
      </c>
      <c r="D391" s="84" t="s">
        <v>325</v>
      </c>
      <c r="E391" s="90">
        <v>0</v>
      </c>
      <c r="F391" s="12">
        <f t="shared" si="143"/>
        <v>0</v>
      </c>
      <c r="G391" s="12" t="str">
        <f t="shared" si="146"/>
        <v/>
      </c>
      <c r="H391" s="88" t="s">
        <v>31</v>
      </c>
      <c r="I391" s="89">
        <v>0</v>
      </c>
      <c r="J391" s="85">
        <v>57</v>
      </c>
      <c r="K391" s="85"/>
      <c r="L391" s="6">
        <f t="shared" si="125"/>
        <v>0</v>
      </c>
      <c r="M391" s="85">
        <v>0</v>
      </c>
      <c r="N391" s="85">
        <v>0</v>
      </c>
      <c r="O391" s="85"/>
      <c r="P391" s="85">
        <v>0</v>
      </c>
      <c r="Q391" s="85">
        <v>0</v>
      </c>
      <c r="R391" s="85">
        <v>0</v>
      </c>
      <c r="S391" s="85">
        <v>0</v>
      </c>
      <c r="T391" s="85">
        <v>0</v>
      </c>
      <c r="U391" s="88"/>
      <c r="V391" s="88" t="s">
        <v>133</v>
      </c>
      <c r="W391" s="85">
        <v>0</v>
      </c>
      <c r="X391" s="85">
        <v>0</v>
      </c>
      <c r="Y391" s="15" t="e">
        <f t="shared" si="140"/>
        <v>#DIV/0!</v>
      </c>
      <c r="Z391" s="16">
        <v>0</v>
      </c>
      <c r="AA391" s="12" t="str">
        <f t="shared" si="127"/>
        <v/>
      </c>
      <c r="AB391" s="12" t="str">
        <f t="shared" si="147"/>
        <v/>
      </c>
      <c r="AC391" s="13" t="e">
        <f t="shared" si="141"/>
        <v>#DIV/0!</v>
      </c>
      <c r="AD391" s="13" t="e">
        <f t="shared" si="148"/>
        <v>#DIV/0!</v>
      </c>
      <c r="AE391" s="13"/>
      <c r="AF391" s="12" t="str">
        <f t="shared" si="116"/>
        <v/>
      </c>
      <c r="AG391" s="12" t="str">
        <f t="shared" si="117"/>
        <v/>
      </c>
      <c r="AH391" s="12" t="str">
        <f t="shared" si="118"/>
        <v/>
      </c>
      <c r="AI391" s="12" t="str">
        <f t="shared" si="149"/>
        <v/>
      </c>
      <c r="AJ391" s="12" t="str">
        <f t="shared" si="150"/>
        <v/>
      </c>
      <c r="AK391" s="12" t="str">
        <f t="shared" si="151"/>
        <v/>
      </c>
      <c r="AL391" s="12"/>
      <c r="AM391" s="13" t="e">
        <f t="shared" si="134"/>
        <v>#DIV/0!</v>
      </c>
      <c r="AN391" s="13" t="e">
        <f t="shared" si="135"/>
        <v>#DIV/0!</v>
      </c>
      <c r="AO391" s="13" t="e">
        <f t="shared" si="136"/>
        <v>#DIV/0!</v>
      </c>
      <c r="AP391" s="13" t="e">
        <f t="shared" si="137"/>
        <v>#DIV/0!</v>
      </c>
      <c r="AQ391" s="12">
        <f t="shared" si="152"/>
        <v>0</v>
      </c>
      <c r="AR391" s="13" t="e">
        <f t="shared" si="139"/>
        <v>#DIV/0!</v>
      </c>
      <c r="AS391" s="91" t="s">
        <v>368</v>
      </c>
      <c r="AT391" s="94"/>
      <c r="AU391" s="94"/>
    </row>
    <row r="392" spans="1:47" x14ac:dyDescent="0.25">
      <c r="A392" s="87">
        <v>46090</v>
      </c>
      <c r="B392" s="10" t="str">
        <f t="shared" si="144"/>
        <v>2026</v>
      </c>
      <c r="C392" s="10" t="str">
        <f t="shared" si="145"/>
        <v>March</v>
      </c>
      <c r="D392" s="84" t="s">
        <v>325</v>
      </c>
      <c r="E392" s="90">
        <v>791</v>
      </c>
      <c r="F392" s="12">
        <f t="shared" si="143"/>
        <v>10678.5</v>
      </c>
      <c r="G392" s="12">
        <f t="shared" si="146"/>
        <v>1026.7788461538462</v>
      </c>
      <c r="H392" s="88" t="s">
        <v>31</v>
      </c>
      <c r="I392" s="89">
        <v>0</v>
      </c>
      <c r="J392" s="85">
        <v>57</v>
      </c>
      <c r="K392" s="85"/>
      <c r="L392" s="6">
        <f t="shared" si="125"/>
        <v>7105</v>
      </c>
      <c r="M392" s="85">
        <v>3053</v>
      </c>
      <c r="N392" s="85">
        <v>4052</v>
      </c>
      <c r="O392" s="85"/>
      <c r="P392" s="85">
        <v>3952</v>
      </c>
      <c r="Q392" s="85">
        <v>0</v>
      </c>
      <c r="R392" s="85">
        <v>0</v>
      </c>
      <c r="S392" s="85">
        <v>0</v>
      </c>
      <c r="T392" s="85">
        <v>0</v>
      </c>
      <c r="U392" s="85" t="s">
        <v>326</v>
      </c>
      <c r="V392" s="88" t="s">
        <v>133</v>
      </c>
      <c r="W392" s="85">
        <v>12</v>
      </c>
      <c r="X392" s="85">
        <v>10.4</v>
      </c>
      <c r="Y392" s="15">
        <f t="shared" si="140"/>
        <v>6.0666666666666673</v>
      </c>
      <c r="Z392" s="16">
        <f t="shared" si="126"/>
        <v>0.8666666666666667</v>
      </c>
      <c r="AA392" s="12">
        <f t="shared" si="127"/>
        <v>0</v>
      </c>
      <c r="AB392" s="12">
        <f t="shared" si="147"/>
        <v>0</v>
      </c>
      <c r="AC392" s="13">
        <f t="shared" si="141"/>
        <v>0</v>
      </c>
      <c r="AD392" s="13">
        <f t="shared" si="148"/>
        <v>0</v>
      </c>
      <c r="AE392" s="13">
        <f t="shared" si="130"/>
        <v>683.17307692307691</v>
      </c>
      <c r="AF392" s="12">
        <f t="shared" si="116"/>
        <v>293.55769230769232</v>
      </c>
      <c r="AG392" s="12">
        <f t="shared" si="117"/>
        <v>389.61538461538458</v>
      </c>
      <c r="AH392" s="12">
        <f t="shared" si="118"/>
        <v>0</v>
      </c>
      <c r="AI392" s="12">
        <f t="shared" si="149"/>
        <v>0.28590157793697618</v>
      </c>
      <c r="AJ392" s="12">
        <f t="shared" si="150"/>
        <v>0.37945404317085735</v>
      </c>
      <c r="AK392" s="12">
        <f t="shared" si="151"/>
        <v>0</v>
      </c>
      <c r="AL392" s="12">
        <f t="shared" si="122"/>
        <v>0.66535562110783353</v>
      </c>
      <c r="AM392" s="13">
        <f t="shared" si="134"/>
        <v>0</v>
      </c>
      <c r="AN392" s="13">
        <f t="shared" si="135"/>
        <v>380</v>
      </c>
      <c r="AO392" s="13">
        <f t="shared" si="136"/>
        <v>0</v>
      </c>
      <c r="AP392" s="13">
        <f t="shared" si="137"/>
        <v>0</v>
      </c>
      <c r="AQ392" s="12">
        <f t="shared" si="152"/>
        <v>11057</v>
      </c>
      <c r="AR392" s="13">
        <f t="shared" si="139"/>
        <v>1063.1730769230769</v>
      </c>
      <c r="AS392" s="91" t="s">
        <v>369</v>
      </c>
      <c r="AT392" s="94"/>
      <c r="AU392" s="94"/>
    </row>
    <row r="393" spans="1:47" x14ac:dyDescent="0.25">
      <c r="A393" s="87">
        <v>46091</v>
      </c>
      <c r="B393" s="10" t="str">
        <f t="shared" si="144"/>
        <v>2026</v>
      </c>
      <c r="C393" s="10" t="str">
        <f t="shared" si="145"/>
        <v>March</v>
      </c>
      <c r="D393" s="84" t="s">
        <v>325</v>
      </c>
      <c r="E393" s="90">
        <v>609</v>
      </c>
      <c r="F393" s="12">
        <f t="shared" si="143"/>
        <v>8221.5</v>
      </c>
      <c r="G393" s="12">
        <f t="shared" si="146"/>
        <v>1002.6219512195123</v>
      </c>
      <c r="H393" s="88" t="s">
        <v>31</v>
      </c>
      <c r="I393" s="89">
        <v>0</v>
      </c>
      <c r="J393" s="85">
        <v>57</v>
      </c>
      <c r="K393" s="85"/>
      <c r="L393" s="6">
        <f t="shared" si="125"/>
        <v>6047</v>
      </c>
      <c r="M393" s="85">
        <v>2508</v>
      </c>
      <c r="N393" s="85">
        <v>3539</v>
      </c>
      <c r="O393" s="85"/>
      <c r="P393" s="85">
        <v>3116</v>
      </c>
      <c r="Q393" s="85">
        <v>0</v>
      </c>
      <c r="R393" s="85">
        <v>0</v>
      </c>
      <c r="S393" s="85">
        <v>0</v>
      </c>
      <c r="T393" s="85">
        <v>0</v>
      </c>
      <c r="U393" s="85" t="s">
        <v>326</v>
      </c>
      <c r="V393" s="88" t="s">
        <v>133</v>
      </c>
      <c r="W393" s="85">
        <v>12</v>
      </c>
      <c r="X393" s="85">
        <v>8.1999999999999993</v>
      </c>
      <c r="Y393" s="15">
        <f t="shared" si="140"/>
        <v>4.7833333333333332</v>
      </c>
      <c r="Z393" s="16">
        <f t="shared" si="126"/>
        <v>0.68333333333333324</v>
      </c>
      <c r="AA393" s="12">
        <f t="shared" si="127"/>
        <v>0</v>
      </c>
      <c r="AB393" s="12">
        <f t="shared" si="147"/>
        <v>0</v>
      </c>
      <c r="AC393" s="13">
        <f t="shared" si="141"/>
        <v>0</v>
      </c>
      <c r="AD393" s="13">
        <f t="shared" si="148"/>
        <v>0</v>
      </c>
      <c r="AE393" s="13">
        <f t="shared" si="130"/>
        <v>737.43902439024396</v>
      </c>
      <c r="AF393" s="12">
        <f t="shared" si="116"/>
        <v>305.85365853658539</v>
      </c>
      <c r="AG393" s="12">
        <f t="shared" si="117"/>
        <v>431.58536585365857</v>
      </c>
      <c r="AH393" s="12">
        <f t="shared" si="118"/>
        <v>0</v>
      </c>
      <c r="AI393" s="12">
        <f t="shared" si="149"/>
        <v>0.30505382229520162</v>
      </c>
      <c r="AJ393" s="12">
        <f t="shared" si="150"/>
        <v>0.430456729307304</v>
      </c>
      <c r="AK393" s="12">
        <f t="shared" si="151"/>
        <v>0</v>
      </c>
      <c r="AL393" s="12">
        <f t="shared" si="122"/>
        <v>0.73551055160250556</v>
      </c>
      <c r="AM393" s="13">
        <f t="shared" si="134"/>
        <v>0</v>
      </c>
      <c r="AN393" s="13">
        <f t="shared" si="135"/>
        <v>380.00000000000006</v>
      </c>
      <c r="AO393" s="13">
        <f t="shared" si="136"/>
        <v>0</v>
      </c>
      <c r="AP393" s="13">
        <f t="shared" si="137"/>
        <v>0</v>
      </c>
      <c r="AQ393" s="12">
        <f t="shared" si="152"/>
        <v>9163</v>
      </c>
      <c r="AR393" s="13">
        <f t="shared" si="139"/>
        <v>1117.439024390244</v>
      </c>
      <c r="AS393" s="91" t="s">
        <v>370</v>
      </c>
      <c r="AT393" s="94"/>
      <c r="AU393" s="94"/>
    </row>
    <row r="394" spans="1:47" x14ac:dyDescent="0.25">
      <c r="A394" s="87">
        <v>46092</v>
      </c>
      <c r="B394" s="10" t="str">
        <f t="shared" si="144"/>
        <v>2026</v>
      </c>
      <c r="C394" s="10" t="str">
        <f t="shared" si="145"/>
        <v>March</v>
      </c>
      <c r="D394" s="84" t="s">
        <v>325</v>
      </c>
      <c r="E394" s="90">
        <v>738</v>
      </c>
      <c r="F394" s="12">
        <f t="shared" si="143"/>
        <v>9963</v>
      </c>
      <c r="G394" s="12">
        <f t="shared" si="146"/>
        <v>1027.1134020618558</v>
      </c>
      <c r="H394" s="88" t="s">
        <v>31</v>
      </c>
      <c r="I394" s="89">
        <v>0</v>
      </c>
      <c r="J394" s="85">
        <v>57</v>
      </c>
      <c r="K394" s="85"/>
      <c r="L394" s="6">
        <f t="shared" si="125"/>
        <v>7602</v>
      </c>
      <c r="M394" s="85">
        <v>3118</v>
      </c>
      <c r="N394" s="85">
        <v>4484</v>
      </c>
      <c r="O394" s="85"/>
      <c r="P394" s="85">
        <v>3686</v>
      </c>
      <c r="Q394" s="85">
        <v>0</v>
      </c>
      <c r="R394" s="85">
        <v>0</v>
      </c>
      <c r="S394" s="85">
        <v>0</v>
      </c>
      <c r="T394" s="85">
        <v>0</v>
      </c>
      <c r="U394" s="85" t="s">
        <v>326</v>
      </c>
      <c r="V394" s="88" t="s">
        <v>133</v>
      </c>
      <c r="W394" s="85">
        <v>12</v>
      </c>
      <c r="X394" s="85">
        <v>9.6999999999999993</v>
      </c>
      <c r="Y394" s="15">
        <f t="shared" si="140"/>
        <v>5.6583333333333332</v>
      </c>
      <c r="Z394" s="16">
        <f t="shared" si="126"/>
        <v>0.80833333333333324</v>
      </c>
      <c r="AA394" s="12">
        <f t="shared" si="127"/>
        <v>0</v>
      </c>
      <c r="AB394" s="12">
        <f t="shared" si="147"/>
        <v>0</v>
      </c>
      <c r="AC394" s="13">
        <f t="shared" si="141"/>
        <v>0</v>
      </c>
      <c r="AD394" s="13">
        <f t="shared" si="148"/>
        <v>0</v>
      </c>
      <c r="AE394" s="13">
        <f t="shared" si="130"/>
        <v>783.71134020618558</v>
      </c>
      <c r="AF394" s="12">
        <f t="shared" si="116"/>
        <v>321.4432989690722</v>
      </c>
      <c r="AG394" s="12">
        <f t="shared" si="117"/>
        <v>462.26804123711344</v>
      </c>
      <c r="AH394" s="12">
        <f t="shared" si="118"/>
        <v>0</v>
      </c>
      <c r="AI394" s="12">
        <f t="shared" si="149"/>
        <v>0.31295794439425878</v>
      </c>
      <c r="AJ394" s="12">
        <f t="shared" si="150"/>
        <v>0.45006524139315468</v>
      </c>
      <c r="AK394" s="12">
        <f t="shared" si="151"/>
        <v>0</v>
      </c>
      <c r="AL394" s="12">
        <f t="shared" si="122"/>
        <v>0.76302318578741346</v>
      </c>
      <c r="AM394" s="13">
        <f t="shared" si="134"/>
        <v>0</v>
      </c>
      <c r="AN394" s="13">
        <f t="shared" si="135"/>
        <v>380</v>
      </c>
      <c r="AO394" s="13">
        <f t="shared" si="136"/>
        <v>0</v>
      </c>
      <c r="AP394" s="13">
        <f t="shared" si="137"/>
        <v>0</v>
      </c>
      <c r="AQ394" s="12">
        <f t="shared" si="152"/>
        <v>11288</v>
      </c>
      <c r="AR394" s="13">
        <f t="shared" si="139"/>
        <v>1163.7113402061855</v>
      </c>
      <c r="AS394" s="91" t="s">
        <v>371</v>
      </c>
      <c r="AT394" s="94"/>
      <c r="AU394" s="94"/>
    </row>
    <row r="395" spans="1:47" x14ac:dyDescent="0.25">
      <c r="A395" s="87">
        <v>46093</v>
      </c>
      <c r="B395" s="10" t="str">
        <f t="shared" si="144"/>
        <v>2026</v>
      </c>
      <c r="C395" s="10" t="str">
        <f t="shared" si="145"/>
        <v>March</v>
      </c>
      <c r="D395" s="84" t="s">
        <v>325</v>
      </c>
      <c r="E395" s="90">
        <v>0</v>
      </c>
      <c r="F395" s="12">
        <f t="shared" si="143"/>
        <v>0</v>
      </c>
      <c r="G395" s="12" t="str">
        <f t="shared" si="146"/>
        <v/>
      </c>
      <c r="H395" s="88" t="s">
        <v>31</v>
      </c>
      <c r="I395" s="89">
        <v>0</v>
      </c>
      <c r="J395" s="85">
        <v>57</v>
      </c>
      <c r="K395" s="85"/>
      <c r="L395" s="6">
        <f t="shared" si="125"/>
        <v>0</v>
      </c>
      <c r="M395" s="85">
        <v>0</v>
      </c>
      <c r="N395" s="85">
        <v>0</v>
      </c>
      <c r="O395" s="85"/>
      <c r="P395" s="85">
        <v>0</v>
      </c>
      <c r="Q395" s="85">
        <v>0</v>
      </c>
      <c r="R395" s="85">
        <v>0</v>
      </c>
      <c r="S395" s="85">
        <v>0</v>
      </c>
      <c r="T395" s="85">
        <v>0</v>
      </c>
      <c r="U395" s="85" t="s">
        <v>326</v>
      </c>
      <c r="V395" s="88" t="s">
        <v>133</v>
      </c>
      <c r="W395" s="85">
        <v>12</v>
      </c>
      <c r="X395" s="85">
        <v>0</v>
      </c>
      <c r="Y395" s="15">
        <f t="shared" si="140"/>
        <v>0</v>
      </c>
      <c r="Z395" s="16">
        <f t="shared" si="126"/>
        <v>0</v>
      </c>
      <c r="AA395" s="12" t="str">
        <f t="shared" si="127"/>
        <v/>
      </c>
      <c r="AB395" s="12" t="str">
        <f t="shared" si="147"/>
        <v/>
      </c>
      <c r="AC395" s="13" t="e">
        <f t="shared" si="141"/>
        <v>#DIV/0!</v>
      </c>
      <c r="AD395" s="13" t="e">
        <f t="shared" si="148"/>
        <v>#DIV/0!</v>
      </c>
      <c r="AE395" s="13"/>
      <c r="AF395" s="12" t="str">
        <f t="shared" si="116"/>
        <v/>
      </c>
      <c r="AG395" s="12" t="str">
        <f t="shared" si="117"/>
        <v/>
      </c>
      <c r="AH395" s="12" t="str">
        <f t="shared" si="118"/>
        <v/>
      </c>
      <c r="AI395" s="12" t="str">
        <f t="shared" si="149"/>
        <v/>
      </c>
      <c r="AJ395" s="12" t="str">
        <f t="shared" si="150"/>
        <v/>
      </c>
      <c r="AK395" s="12" t="str">
        <f t="shared" si="151"/>
        <v/>
      </c>
      <c r="AL395" s="12"/>
      <c r="AM395" s="13" t="e">
        <f t="shared" si="134"/>
        <v>#DIV/0!</v>
      </c>
      <c r="AN395" s="13" t="e">
        <f t="shared" si="135"/>
        <v>#DIV/0!</v>
      </c>
      <c r="AO395" s="13" t="e">
        <f t="shared" si="136"/>
        <v>#DIV/0!</v>
      </c>
      <c r="AP395" s="13" t="e">
        <f t="shared" si="137"/>
        <v>#DIV/0!</v>
      </c>
      <c r="AQ395" s="12">
        <f t="shared" si="152"/>
        <v>0</v>
      </c>
      <c r="AR395" s="13" t="e">
        <f t="shared" si="139"/>
        <v>#DIV/0!</v>
      </c>
      <c r="AS395" s="91" t="s">
        <v>372</v>
      </c>
      <c r="AT395" s="94"/>
      <c r="AU395" s="94"/>
    </row>
    <row r="396" spans="1:47" x14ac:dyDescent="0.25">
      <c r="A396" s="87">
        <v>46094</v>
      </c>
      <c r="B396" s="10" t="str">
        <f t="shared" ref="B396:B427" si="153">TEXT(A396,"YYYY")</f>
        <v>2026</v>
      </c>
      <c r="C396" s="10" t="str">
        <f t="shared" ref="C396:C419" si="154">TEXT(A396,"MMMM")</f>
        <v>March</v>
      </c>
      <c r="D396" s="84" t="s">
        <v>325</v>
      </c>
      <c r="E396" s="90">
        <v>381</v>
      </c>
      <c r="F396" s="12">
        <f t="shared" si="143"/>
        <v>5143.5</v>
      </c>
      <c r="G396" s="12">
        <f t="shared" si="146"/>
        <v>989.13461538461536</v>
      </c>
      <c r="H396" s="88" t="s">
        <v>31</v>
      </c>
      <c r="I396" s="89">
        <v>0</v>
      </c>
      <c r="J396" s="85">
        <v>57</v>
      </c>
      <c r="K396" s="85"/>
      <c r="L396" s="6">
        <f t="shared" si="125"/>
        <v>3732</v>
      </c>
      <c r="M396" s="85">
        <v>1534</v>
      </c>
      <c r="N396" s="85">
        <v>2198</v>
      </c>
      <c r="O396" s="85"/>
      <c r="P396" s="85">
        <v>1976</v>
      </c>
      <c r="Q396" s="85">
        <v>0</v>
      </c>
      <c r="R396" s="85">
        <v>0</v>
      </c>
      <c r="S396" s="85">
        <v>0</v>
      </c>
      <c r="T396" s="85">
        <v>0</v>
      </c>
      <c r="U396" s="85" t="s">
        <v>326</v>
      </c>
      <c r="V396" s="88" t="s">
        <v>133</v>
      </c>
      <c r="W396" s="85">
        <v>12</v>
      </c>
      <c r="X396" s="85">
        <v>5.2</v>
      </c>
      <c r="Y396" s="15">
        <f t="shared" si="140"/>
        <v>3.0333333333333337</v>
      </c>
      <c r="Z396" s="16">
        <f t="shared" si="126"/>
        <v>0.43333333333333335</v>
      </c>
      <c r="AA396" s="12">
        <f t="shared" si="127"/>
        <v>0</v>
      </c>
      <c r="AB396" s="12">
        <f t="shared" si="147"/>
        <v>0</v>
      </c>
      <c r="AC396" s="13">
        <f t="shared" si="141"/>
        <v>0</v>
      </c>
      <c r="AD396" s="13">
        <f t="shared" si="148"/>
        <v>0</v>
      </c>
      <c r="AE396" s="13">
        <f t="shared" si="130"/>
        <v>717.69230769230762</v>
      </c>
      <c r="AF396" s="12">
        <f t="shared" si="116"/>
        <v>295</v>
      </c>
      <c r="AG396" s="12">
        <f t="shared" si="117"/>
        <v>422.69230769230768</v>
      </c>
      <c r="AH396" s="12">
        <f t="shared" si="118"/>
        <v>0</v>
      </c>
      <c r="AI396" s="12">
        <f t="shared" si="149"/>
        <v>0.29824049771556332</v>
      </c>
      <c r="AJ396" s="12">
        <f t="shared" si="150"/>
        <v>0.42733547195489452</v>
      </c>
      <c r="AK396" s="12">
        <f t="shared" si="151"/>
        <v>0</v>
      </c>
      <c r="AL396" s="12">
        <f t="shared" si="122"/>
        <v>0.72557596967045779</v>
      </c>
      <c r="AM396" s="13">
        <f t="shared" si="134"/>
        <v>0</v>
      </c>
      <c r="AN396" s="13">
        <f t="shared" si="135"/>
        <v>380</v>
      </c>
      <c r="AO396" s="13">
        <f t="shared" si="136"/>
        <v>0</v>
      </c>
      <c r="AP396" s="13">
        <f t="shared" si="137"/>
        <v>0</v>
      </c>
      <c r="AQ396" s="12">
        <f t="shared" si="152"/>
        <v>5708</v>
      </c>
      <c r="AR396" s="13">
        <f t="shared" si="139"/>
        <v>1097.6923076923076</v>
      </c>
      <c r="AS396" s="91" t="s">
        <v>373</v>
      </c>
      <c r="AT396" s="94"/>
      <c r="AU396" s="94"/>
    </row>
    <row r="397" spans="1:47" x14ac:dyDescent="0.25">
      <c r="A397" s="87">
        <v>46097</v>
      </c>
      <c r="B397" s="10" t="str">
        <f t="shared" si="153"/>
        <v>2026</v>
      </c>
      <c r="C397" s="10" t="str">
        <f t="shared" si="154"/>
        <v>March</v>
      </c>
      <c r="D397" s="84" t="s">
        <v>325</v>
      </c>
      <c r="E397" s="90">
        <v>455</v>
      </c>
      <c r="F397" s="12">
        <f t="shared" si="143"/>
        <v>6142.5</v>
      </c>
      <c r="G397" s="12">
        <f t="shared" si="146"/>
        <v>1116.8181818181818</v>
      </c>
      <c r="H397" s="88" t="s">
        <v>31</v>
      </c>
      <c r="I397" s="89">
        <v>0</v>
      </c>
      <c r="J397" s="85">
        <v>57</v>
      </c>
      <c r="K397" s="85"/>
      <c r="L397" s="6">
        <f t="shared" si="125"/>
        <v>4071</v>
      </c>
      <c r="M397" s="85">
        <v>1708</v>
      </c>
      <c r="N397" s="85">
        <v>2363</v>
      </c>
      <c r="O397" s="85"/>
      <c r="P397" s="85">
        <v>2090</v>
      </c>
      <c r="Q397" s="85">
        <v>0</v>
      </c>
      <c r="R397" s="85">
        <v>0</v>
      </c>
      <c r="S397" s="85">
        <v>0</v>
      </c>
      <c r="T397" s="85">
        <v>0</v>
      </c>
      <c r="U397" s="85" t="s">
        <v>326</v>
      </c>
      <c r="V397" s="88" t="s">
        <v>133</v>
      </c>
      <c r="W397" s="85">
        <v>12</v>
      </c>
      <c r="X397" s="85">
        <v>5.5</v>
      </c>
      <c r="Y397" s="15">
        <f t="shared" si="140"/>
        <v>3.2083333333333335</v>
      </c>
      <c r="Z397" s="16">
        <f t="shared" si="126"/>
        <v>0.45833333333333331</v>
      </c>
      <c r="AA397" s="12">
        <f t="shared" si="127"/>
        <v>0</v>
      </c>
      <c r="AB397" s="12">
        <f t="shared" si="147"/>
        <v>0</v>
      </c>
      <c r="AC397" s="13">
        <f t="shared" si="141"/>
        <v>0</v>
      </c>
      <c r="AD397" s="13">
        <f t="shared" si="148"/>
        <v>0</v>
      </c>
      <c r="AE397" s="13">
        <f t="shared" si="130"/>
        <v>740.18181818181813</v>
      </c>
      <c r="AF397" s="12">
        <f t="shared" si="116"/>
        <v>310.54545454545456</v>
      </c>
      <c r="AG397" s="12">
        <f t="shared" si="117"/>
        <v>429.63636363636363</v>
      </c>
      <c r="AH397" s="12">
        <f t="shared" si="118"/>
        <v>0</v>
      </c>
      <c r="AI397" s="12">
        <f t="shared" si="149"/>
        <v>0.27806267806267804</v>
      </c>
      <c r="AJ397" s="12">
        <f t="shared" si="150"/>
        <v>0.3846967846967847</v>
      </c>
      <c r="AK397" s="12">
        <f t="shared" si="151"/>
        <v>0</v>
      </c>
      <c r="AL397" s="12">
        <f t="shared" si="122"/>
        <v>0.66275946275946274</v>
      </c>
      <c r="AM397" s="13">
        <f t="shared" si="134"/>
        <v>0</v>
      </c>
      <c r="AN397" s="13">
        <f t="shared" si="135"/>
        <v>380</v>
      </c>
      <c r="AO397" s="13">
        <f t="shared" si="136"/>
        <v>0</v>
      </c>
      <c r="AP397" s="13">
        <f t="shared" si="137"/>
        <v>0</v>
      </c>
      <c r="AQ397" s="12">
        <f t="shared" si="152"/>
        <v>6161</v>
      </c>
      <c r="AR397" s="13">
        <f t="shared" si="139"/>
        <v>1120.181818181818</v>
      </c>
      <c r="AS397" s="91" t="s">
        <v>374</v>
      </c>
      <c r="AT397" s="94"/>
      <c r="AU397" s="94"/>
    </row>
    <row r="398" spans="1:47" x14ac:dyDescent="0.25">
      <c r="A398" s="87">
        <v>46098</v>
      </c>
      <c r="B398" s="10" t="str">
        <f t="shared" si="153"/>
        <v>2026</v>
      </c>
      <c r="C398" s="10" t="str">
        <f t="shared" si="154"/>
        <v>March</v>
      </c>
      <c r="D398" s="84" t="s">
        <v>325</v>
      </c>
      <c r="E398" s="90">
        <v>505</v>
      </c>
      <c r="F398" s="12">
        <f t="shared" si="143"/>
        <v>6817.5</v>
      </c>
      <c r="G398" s="12">
        <f t="shared" si="146"/>
        <v>1032.9545454545455</v>
      </c>
      <c r="H398" s="88" t="s">
        <v>375</v>
      </c>
      <c r="I398" s="89">
        <v>0</v>
      </c>
      <c r="J398" s="85">
        <v>57</v>
      </c>
      <c r="K398" s="85"/>
      <c r="L398" s="6">
        <f t="shared" si="125"/>
        <v>4330</v>
      </c>
      <c r="M398" s="85">
        <v>1689</v>
      </c>
      <c r="N398" s="85">
        <v>2641</v>
      </c>
      <c r="O398" s="85"/>
      <c r="P398" s="85">
        <v>2508</v>
      </c>
      <c r="Q398" s="85">
        <v>0</v>
      </c>
      <c r="R398" s="85">
        <v>0</v>
      </c>
      <c r="S398" s="85">
        <v>0</v>
      </c>
      <c r="T398" s="85">
        <v>0</v>
      </c>
      <c r="U398" s="85" t="s">
        <v>326</v>
      </c>
      <c r="V398" s="88" t="s">
        <v>133</v>
      </c>
      <c r="W398" s="85">
        <v>12</v>
      </c>
      <c r="X398" s="85">
        <v>6.6</v>
      </c>
      <c r="Y398" s="15">
        <f t="shared" si="140"/>
        <v>3.85</v>
      </c>
      <c r="Z398" s="16">
        <f t="shared" si="126"/>
        <v>0.54999999999999993</v>
      </c>
      <c r="AA398" s="12">
        <f t="shared" si="127"/>
        <v>0</v>
      </c>
      <c r="AB398" s="12">
        <f t="shared" si="147"/>
        <v>0</v>
      </c>
      <c r="AC398" s="13">
        <f t="shared" si="141"/>
        <v>0</v>
      </c>
      <c r="AD398" s="13">
        <f t="shared" si="148"/>
        <v>0</v>
      </c>
      <c r="AE398" s="13">
        <f t="shared" si="130"/>
        <v>656.06060606060612</v>
      </c>
      <c r="AF398" s="12">
        <f t="shared" si="116"/>
        <v>255.90909090909093</v>
      </c>
      <c r="AG398" s="12">
        <f t="shared" si="117"/>
        <v>400.15151515151518</v>
      </c>
      <c r="AH398" s="12">
        <f t="shared" si="118"/>
        <v>0</v>
      </c>
      <c r="AI398" s="12">
        <f t="shared" si="149"/>
        <v>0.24774477447744775</v>
      </c>
      <c r="AJ398" s="12">
        <f t="shared" si="150"/>
        <v>0.38738540520718739</v>
      </c>
      <c r="AK398" s="12">
        <f t="shared" si="151"/>
        <v>0</v>
      </c>
      <c r="AL398" s="12">
        <f t="shared" si="122"/>
        <v>0.63513017968463514</v>
      </c>
      <c r="AM398" s="13">
        <f t="shared" si="134"/>
        <v>0</v>
      </c>
      <c r="AN398" s="13">
        <f t="shared" si="135"/>
        <v>380</v>
      </c>
      <c r="AO398" s="13">
        <f t="shared" si="136"/>
        <v>0</v>
      </c>
      <c r="AP398" s="13">
        <f t="shared" si="137"/>
        <v>0</v>
      </c>
      <c r="AQ398" s="12">
        <f t="shared" si="152"/>
        <v>6838</v>
      </c>
      <c r="AR398" s="13">
        <f t="shared" si="139"/>
        <v>1036.060606060606</v>
      </c>
      <c r="AS398" s="91" t="s">
        <v>376</v>
      </c>
      <c r="AT398" s="94"/>
      <c r="AU398" s="94"/>
    </row>
    <row r="399" spans="1:47" x14ac:dyDescent="0.25">
      <c r="A399" s="87">
        <v>46100</v>
      </c>
      <c r="B399" s="10" t="str">
        <f t="shared" si="153"/>
        <v>2026</v>
      </c>
      <c r="C399" s="10" t="str">
        <f t="shared" si="154"/>
        <v>March</v>
      </c>
      <c r="D399" s="84" t="s">
        <v>325</v>
      </c>
      <c r="E399" s="90">
        <v>764</v>
      </c>
      <c r="F399" s="12">
        <f t="shared" si="143"/>
        <v>10314</v>
      </c>
      <c r="G399" s="12">
        <f t="shared" si="146"/>
        <v>973.01886792452831</v>
      </c>
      <c r="H399" s="88" t="s">
        <v>31</v>
      </c>
      <c r="I399" s="89">
        <v>0</v>
      </c>
      <c r="J399" s="85">
        <v>57</v>
      </c>
      <c r="K399" s="85"/>
      <c r="L399" s="6">
        <f t="shared" si="125"/>
        <v>7288</v>
      </c>
      <c r="M399" s="85">
        <v>2712</v>
      </c>
      <c r="N399" s="85">
        <v>4576</v>
      </c>
      <c r="O399" s="85"/>
      <c r="P399" s="85">
        <v>4028</v>
      </c>
      <c r="Q399" s="85">
        <v>0</v>
      </c>
      <c r="R399" s="85">
        <v>0</v>
      </c>
      <c r="S399" s="85">
        <v>0</v>
      </c>
      <c r="T399" s="85">
        <v>0</v>
      </c>
      <c r="U399" s="85" t="s">
        <v>326</v>
      </c>
      <c r="V399" s="88" t="s">
        <v>133</v>
      </c>
      <c r="W399" s="85">
        <v>12</v>
      </c>
      <c r="X399" s="85">
        <v>10.6</v>
      </c>
      <c r="Y399" s="15">
        <f t="shared" si="140"/>
        <v>6.1833333333333336</v>
      </c>
      <c r="Z399" s="16">
        <f t="shared" si="126"/>
        <v>0.8833333333333333</v>
      </c>
      <c r="AA399" s="12">
        <f t="shared" si="127"/>
        <v>0</v>
      </c>
      <c r="AB399" s="12">
        <f t="shared" si="147"/>
        <v>0</v>
      </c>
      <c r="AC399" s="13">
        <f t="shared" si="141"/>
        <v>0</v>
      </c>
      <c r="AD399" s="13">
        <f t="shared" si="148"/>
        <v>0</v>
      </c>
      <c r="AE399" s="13">
        <f t="shared" si="130"/>
        <v>687.54716981132083</v>
      </c>
      <c r="AF399" s="12">
        <f t="shared" si="116"/>
        <v>255.84905660377359</v>
      </c>
      <c r="AG399" s="12">
        <f t="shared" si="117"/>
        <v>431.69811320754718</v>
      </c>
      <c r="AH399" s="12">
        <f t="shared" si="118"/>
        <v>0</v>
      </c>
      <c r="AI399" s="12">
        <f t="shared" si="149"/>
        <v>0.26294357184409539</v>
      </c>
      <c r="AJ399" s="12">
        <f t="shared" si="150"/>
        <v>0.4436687996897421</v>
      </c>
      <c r="AK399" s="12">
        <f t="shared" si="151"/>
        <v>0</v>
      </c>
      <c r="AL399" s="12">
        <f t="shared" si="122"/>
        <v>0.70661237153383749</v>
      </c>
      <c r="AM399" s="13">
        <f t="shared" si="134"/>
        <v>0</v>
      </c>
      <c r="AN399" s="13">
        <f t="shared" si="135"/>
        <v>380</v>
      </c>
      <c r="AO399" s="13">
        <f t="shared" si="136"/>
        <v>0</v>
      </c>
      <c r="AP399" s="13">
        <f t="shared" si="137"/>
        <v>0</v>
      </c>
      <c r="AQ399" s="12">
        <f t="shared" si="152"/>
        <v>11316</v>
      </c>
      <c r="AR399" s="13">
        <f t="shared" si="139"/>
        <v>1067.5471698113208</v>
      </c>
      <c r="AS399" s="91" t="s">
        <v>377</v>
      </c>
      <c r="AT399" s="94"/>
      <c r="AU399" s="94"/>
    </row>
    <row r="400" spans="1:47" x14ac:dyDescent="0.25">
      <c r="A400" s="87">
        <v>46104</v>
      </c>
      <c r="B400" s="10" t="str">
        <f t="shared" si="153"/>
        <v>2026</v>
      </c>
      <c r="C400" s="10" t="str">
        <f t="shared" si="154"/>
        <v>March</v>
      </c>
      <c r="D400" s="84" t="s">
        <v>325</v>
      </c>
      <c r="E400" s="90">
        <v>734</v>
      </c>
      <c r="F400" s="12">
        <f t="shared" si="143"/>
        <v>9909</v>
      </c>
      <c r="G400" s="12">
        <f t="shared" si="146"/>
        <v>1054.1489361702127</v>
      </c>
      <c r="H400" s="88" t="s">
        <v>31</v>
      </c>
      <c r="I400" s="89">
        <v>0</v>
      </c>
      <c r="J400" s="85">
        <v>57</v>
      </c>
      <c r="K400" s="85"/>
      <c r="L400" s="6">
        <f t="shared" si="125"/>
        <v>6466</v>
      </c>
      <c r="M400" s="85">
        <v>2584</v>
      </c>
      <c r="N400" s="85">
        <v>3882</v>
      </c>
      <c r="O400" s="85"/>
      <c r="P400" s="85">
        <v>3578</v>
      </c>
      <c r="Q400" s="85">
        <v>0</v>
      </c>
      <c r="R400" s="85">
        <v>0</v>
      </c>
      <c r="S400" s="85">
        <v>0</v>
      </c>
      <c r="T400" s="85">
        <v>0</v>
      </c>
      <c r="U400" s="85" t="s">
        <v>326</v>
      </c>
      <c r="V400" s="88" t="s">
        <v>133</v>
      </c>
      <c r="W400" s="85">
        <v>12</v>
      </c>
      <c r="X400" s="85">
        <v>9.4</v>
      </c>
      <c r="Y400" s="15">
        <f t="shared" si="140"/>
        <v>5.4833333333333343</v>
      </c>
      <c r="Z400" s="16">
        <f t="shared" si="126"/>
        <v>0.78333333333333333</v>
      </c>
      <c r="AA400" s="12">
        <f t="shared" si="127"/>
        <v>0</v>
      </c>
      <c r="AB400" s="12">
        <f t="shared" si="147"/>
        <v>0</v>
      </c>
      <c r="AC400" s="13">
        <f t="shared" si="141"/>
        <v>0</v>
      </c>
      <c r="AD400" s="13">
        <f t="shared" si="148"/>
        <v>0</v>
      </c>
      <c r="AE400" s="13">
        <f t="shared" si="130"/>
        <v>687.87234042553189</v>
      </c>
      <c r="AF400" s="12">
        <f t="shared" si="116"/>
        <v>274.89361702127661</v>
      </c>
      <c r="AG400" s="12">
        <f t="shared" si="117"/>
        <v>412.97872340425528</v>
      </c>
      <c r="AH400" s="12">
        <f t="shared" si="118"/>
        <v>0</v>
      </c>
      <c r="AI400" s="12">
        <f t="shared" si="149"/>
        <v>0.26077303461499646</v>
      </c>
      <c r="AJ400" s="12">
        <f t="shared" si="150"/>
        <v>0.39176506206478956</v>
      </c>
      <c r="AK400" s="12">
        <f t="shared" si="151"/>
        <v>0</v>
      </c>
      <c r="AL400" s="12">
        <f t="shared" si="122"/>
        <v>0.65253809667978602</v>
      </c>
      <c r="AM400" s="13">
        <f t="shared" si="134"/>
        <v>0</v>
      </c>
      <c r="AN400" s="13">
        <f t="shared" si="135"/>
        <v>380.63829787234039</v>
      </c>
      <c r="AO400" s="13">
        <f t="shared" si="136"/>
        <v>0</v>
      </c>
      <c r="AP400" s="13">
        <f t="shared" si="137"/>
        <v>0</v>
      </c>
      <c r="AQ400" s="12">
        <f t="shared" si="152"/>
        <v>10044</v>
      </c>
      <c r="AR400" s="13">
        <f t="shared" si="139"/>
        <v>1068.5106382978722</v>
      </c>
      <c r="AS400" s="91" t="s">
        <v>378</v>
      </c>
      <c r="AT400" s="94"/>
      <c r="AU400" s="94"/>
    </row>
    <row r="401" spans="1:47" x14ac:dyDescent="0.25">
      <c r="A401" s="87">
        <v>46105</v>
      </c>
      <c r="B401" s="10" t="str">
        <f t="shared" si="153"/>
        <v>2026</v>
      </c>
      <c r="C401" s="10" t="str">
        <f t="shared" si="154"/>
        <v>March</v>
      </c>
      <c r="D401" s="84" t="s">
        <v>325</v>
      </c>
      <c r="E401" s="90">
        <v>501</v>
      </c>
      <c r="F401" s="12">
        <f t="shared" si="143"/>
        <v>6763.5</v>
      </c>
      <c r="G401" s="12">
        <f t="shared" si="146"/>
        <v>994.63235294117646</v>
      </c>
      <c r="H401" s="88" t="s">
        <v>31</v>
      </c>
      <c r="I401" s="89">
        <v>0</v>
      </c>
      <c r="J401" s="85">
        <v>57</v>
      </c>
      <c r="K401" s="85"/>
      <c r="L401" s="6">
        <f t="shared" si="125"/>
        <v>4923</v>
      </c>
      <c r="M401" s="85">
        <v>1975</v>
      </c>
      <c r="N401" s="85">
        <v>2948</v>
      </c>
      <c r="O401" s="85"/>
      <c r="P401" s="85">
        <v>2888</v>
      </c>
      <c r="Q401" s="85">
        <v>0</v>
      </c>
      <c r="R401" s="85">
        <v>0</v>
      </c>
      <c r="S401" s="85">
        <v>0</v>
      </c>
      <c r="T401" s="85">
        <v>0</v>
      </c>
      <c r="U401" s="85" t="s">
        <v>326</v>
      </c>
      <c r="V401" s="88" t="s">
        <v>133</v>
      </c>
      <c r="W401" s="85">
        <v>12</v>
      </c>
      <c r="X401" s="85">
        <v>6.8</v>
      </c>
      <c r="Y401" s="15">
        <f t="shared" si="140"/>
        <v>3.9666666666666668</v>
      </c>
      <c r="Z401" s="16">
        <f t="shared" si="126"/>
        <v>0.56666666666666665</v>
      </c>
      <c r="AA401" s="12">
        <f t="shared" si="127"/>
        <v>0</v>
      </c>
      <c r="AB401" s="12">
        <f t="shared" si="147"/>
        <v>0</v>
      </c>
      <c r="AC401" s="13">
        <f t="shared" si="141"/>
        <v>0</v>
      </c>
      <c r="AD401" s="13">
        <f t="shared" si="148"/>
        <v>0</v>
      </c>
      <c r="AE401" s="13">
        <f t="shared" si="130"/>
        <v>723.97058823529414</v>
      </c>
      <c r="AF401" s="12">
        <f t="shared" si="116"/>
        <v>290.44117647058823</v>
      </c>
      <c r="AG401" s="12">
        <f t="shared" si="117"/>
        <v>433.52941176470591</v>
      </c>
      <c r="AH401" s="12">
        <f t="shared" si="118"/>
        <v>0</v>
      </c>
      <c r="AI401" s="12">
        <f t="shared" si="149"/>
        <v>0.29200857544170916</v>
      </c>
      <c r="AJ401" s="12">
        <f t="shared" si="150"/>
        <v>0.43586900273527018</v>
      </c>
      <c r="AK401" s="12">
        <f t="shared" si="151"/>
        <v>0</v>
      </c>
      <c r="AL401" s="12">
        <f t="shared" si="122"/>
        <v>0.72787757817697929</v>
      </c>
      <c r="AM401" s="13">
        <f t="shared" si="134"/>
        <v>0</v>
      </c>
      <c r="AN401" s="13">
        <f t="shared" si="135"/>
        <v>424.70588235294116</v>
      </c>
      <c r="AO401" s="13">
        <f t="shared" si="136"/>
        <v>0</v>
      </c>
      <c r="AP401" s="13">
        <f t="shared" si="137"/>
        <v>0</v>
      </c>
      <c r="AQ401" s="12">
        <f t="shared" si="152"/>
        <v>7811</v>
      </c>
      <c r="AR401" s="13">
        <f t="shared" si="139"/>
        <v>1148.6764705882354</v>
      </c>
      <c r="AS401" s="91" t="s">
        <v>379</v>
      </c>
      <c r="AT401" s="94"/>
      <c r="AU401" s="94"/>
    </row>
    <row r="402" spans="1:47" x14ac:dyDescent="0.25">
      <c r="A402" s="87">
        <v>46106</v>
      </c>
      <c r="B402" s="10" t="str">
        <f t="shared" si="153"/>
        <v>2026</v>
      </c>
      <c r="C402" s="10" t="str">
        <f t="shared" si="154"/>
        <v>March</v>
      </c>
      <c r="D402" s="84" t="s">
        <v>325</v>
      </c>
      <c r="E402" s="90">
        <v>686</v>
      </c>
      <c r="F402" s="12">
        <f t="shared" si="143"/>
        <v>9261</v>
      </c>
      <c r="G402" s="12">
        <f t="shared" si="146"/>
        <v>1040.5617977528088</v>
      </c>
      <c r="H402" s="88" t="s">
        <v>31</v>
      </c>
      <c r="I402" s="89">
        <v>0</v>
      </c>
      <c r="J402" s="85">
        <v>57</v>
      </c>
      <c r="K402" s="85"/>
      <c r="L402" s="6">
        <f t="shared" si="125"/>
        <v>5554</v>
      </c>
      <c r="M402" s="85">
        <v>1959</v>
      </c>
      <c r="N402" s="85">
        <v>3595</v>
      </c>
      <c r="O402" s="85"/>
      <c r="P402" s="85">
        <v>3382</v>
      </c>
      <c r="Q402" s="85">
        <v>0</v>
      </c>
      <c r="R402" s="85">
        <v>0</v>
      </c>
      <c r="S402" s="85">
        <v>0</v>
      </c>
      <c r="T402" s="85">
        <v>0</v>
      </c>
      <c r="U402" s="85" t="s">
        <v>326</v>
      </c>
      <c r="V402" s="88" t="s">
        <v>133</v>
      </c>
      <c r="W402" s="85">
        <v>12</v>
      </c>
      <c r="X402" s="85">
        <v>8.9</v>
      </c>
      <c r="Y402" s="15">
        <f t="shared" si="140"/>
        <v>5.1916666666666673</v>
      </c>
      <c r="Z402" s="16">
        <f t="shared" si="126"/>
        <v>0.7416666666666667</v>
      </c>
      <c r="AA402" s="12">
        <f t="shared" si="127"/>
        <v>0</v>
      </c>
      <c r="AB402" s="12">
        <f t="shared" si="147"/>
        <v>0</v>
      </c>
      <c r="AC402" s="13">
        <f t="shared" si="141"/>
        <v>0</v>
      </c>
      <c r="AD402" s="13">
        <f t="shared" si="148"/>
        <v>0</v>
      </c>
      <c r="AE402" s="13">
        <f t="shared" si="130"/>
        <v>624.04494382022472</v>
      </c>
      <c r="AF402" s="12">
        <f t="shared" si="116"/>
        <v>220.11235955056179</v>
      </c>
      <c r="AG402" s="12">
        <f t="shared" si="117"/>
        <v>403.93258426966293</v>
      </c>
      <c r="AH402" s="12">
        <f t="shared" si="118"/>
        <v>0</v>
      </c>
      <c r="AI402" s="12">
        <f t="shared" si="149"/>
        <v>0.21153223194039519</v>
      </c>
      <c r="AJ402" s="12">
        <f t="shared" si="150"/>
        <v>0.38818702084008205</v>
      </c>
      <c r="AK402" s="12">
        <f t="shared" si="151"/>
        <v>0</v>
      </c>
      <c r="AL402" s="12">
        <f t="shared" si="122"/>
        <v>0.59971925278047722</v>
      </c>
      <c r="AM402" s="13">
        <f t="shared" si="134"/>
        <v>0</v>
      </c>
      <c r="AN402" s="13">
        <f t="shared" si="135"/>
        <v>380</v>
      </c>
      <c r="AO402" s="13">
        <f t="shared" si="136"/>
        <v>0</v>
      </c>
      <c r="AP402" s="13">
        <f t="shared" si="137"/>
        <v>0</v>
      </c>
      <c r="AQ402" s="12">
        <f t="shared" si="152"/>
        <v>8936</v>
      </c>
      <c r="AR402" s="13">
        <f t="shared" si="139"/>
        <v>1004.0449438202247</v>
      </c>
      <c r="AS402" s="91" t="s">
        <v>380</v>
      </c>
      <c r="AT402" s="94"/>
      <c r="AU402" s="94"/>
    </row>
    <row r="403" spans="1:47" x14ac:dyDescent="0.25">
      <c r="A403" s="87">
        <v>46111</v>
      </c>
      <c r="B403" s="10" t="str">
        <f t="shared" si="153"/>
        <v>2026</v>
      </c>
      <c r="C403" s="10" t="str">
        <f t="shared" si="154"/>
        <v>March</v>
      </c>
      <c r="D403" s="84" t="s">
        <v>325</v>
      </c>
      <c r="E403" s="90">
        <v>769</v>
      </c>
      <c r="F403" s="12">
        <f t="shared" si="143"/>
        <v>10381.5</v>
      </c>
      <c r="G403" s="12">
        <f t="shared" si="146"/>
        <v>979.38679245283026</v>
      </c>
      <c r="H403" s="88" t="s">
        <v>31</v>
      </c>
      <c r="I403" s="89">
        <v>0</v>
      </c>
      <c r="J403" s="85">
        <v>57</v>
      </c>
      <c r="K403" s="85"/>
      <c r="L403" s="6">
        <f t="shared" si="125"/>
        <v>7296</v>
      </c>
      <c r="M403" s="85">
        <v>3023</v>
      </c>
      <c r="N403" s="85">
        <v>4273</v>
      </c>
      <c r="O403" s="85"/>
      <c r="P403" s="85">
        <v>4273</v>
      </c>
      <c r="Q403" s="85">
        <v>0</v>
      </c>
      <c r="R403" s="85">
        <v>0</v>
      </c>
      <c r="S403" s="85">
        <v>0</v>
      </c>
      <c r="T403" s="85">
        <v>0</v>
      </c>
      <c r="U403" s="85" t="s">
        <v>326</v>
      </c>
      <c r="V403" s="88" t="s">
        <v>133</v>
      </c>
      <c r="W403" s="85">
        <v>12</v>
      </c>
      <c r="X403" s="85">
        <v>10.6</v>
      </c>
      <c r="Y403" s="15">
        <f t="shared" si="140"/>
        <v>6.1833333333333336</v>
      </c>
      <c r="Z403" s="16">
        <f t="shared" si="126"/>
        <v>0.8833333333333333</v>
      </c>
      <c r="AA403" s="12">
        <f t="shared" si="127"/>
        <v>0</v>
      </c>
      <c r="AB403" s="12">
        <f t="shared" si="147"/>
        <v>0</v>
      </c>
      <c r="AC403" s="13">
        <f t="shared" si="141"/>
        <v>0</v>
      </c>
      <c r="AD403" s="13">
        <f t="shared" si="148"/>
        <v>0</v>
      </c>
      <c r="AE403" s="13">
        <f t="shared" si="130"/>
        <v>688.30188679245282</v>
      </c>
      <c r="AF403" s="12">
        <f t="shared" si="116"/>
        <v>285.18867924528303</v>
      </c>
      <c r="AG403" s="12">
        <f t="shared" si="117"/>
        <v>403.11320754716985</v>
      </c>
      <c r="AH403" s="12">
        <f t="shared" si="118"/>
        <v>0</v>
      </c>
      <c r="AI403" s="12">
        <f t="shared" si="149"/>
        <v>0.29119106102201031</v>
      </c>
      <c r="AJ403" s="12">
        <f t="shared" si="150"/>
        <v>0.41159755334007608</v>
      </c>
      <c r="AK403" s="12">
        <f t="shared" si="151"/>
        <v>0</v>
      </c>
      <c r="AL403" s="12">
        <f t="shared" si="122"/>
        <v>0.70278861436208639</v>
      </c>
      <c r="AM403" s="13">
        <f t="shared" si="134"/>
        <v>0</v>
      </c>
      <c r="AN403" s="13">
        <f t="shared" si="135"/>
        <v>403.11320754716985</v>
      </c>
      <c r="AO403" s="13">
        <f t="shared" si="136"/>
        <v>0</v>
      </c>
      <c r="AP403" s="13">
        <f t="shared" si="137"/>
        <v>0</v>
      </c>
      <c r="AQ403" s="12">
        <f t="shared" si="152"/>
        <v>11569</v>
      </c>
      <c r="AR403" s="13">
        <f t="shared" si="139"/>
        <v>1091.4150943396226</v>
      </c>
      <c r="AS403" s="91" t="s">
        <v>370</v>
      </c>
      <c r="AT403" s="94"/>
      <c r="AU403" s="94"/>
    </row>
    <row r="404" spans="1:47" x14ac:dyDescent="0.25">
      <c r="A404" s="87">
        <v>46112</v>
      </c>
      <c r="B404" s="10" t="str">
        <f t="shared" si="153"/>
        <v>2026</v>
      </c>
      <c r="C404" s="10" t="str">
        <f t="shared" si="154"/>
        <v>March</v>
      </c>
      <c r="D404" s="84" t="s">
        <v>325</v>
      </c>
      <c r="E404" s="90">
        <v>504</v>
      </c>
      <c r="F404" s="12">
        <f t="shared" si="143"/>
        <v>6804</v>
      </c>
      <c r="G404" s="12">
        <f t="shared" si="146"/>
        <v>1015.5223880597015</v>
      </c>
      <c r="H404" s="88" t="s">
        <v>31</v>
      </c>
      <c r="I404" s="89">
        <v>0</v>
      </c>
      <c r="J404" s="85">
        <v>57</v>
      </c>
      <c r="K404" s="85"/>
      <c r="L404" s="6">
        <f t="shared" si="125"/>
        <v>4124</v>
      </c>
      <c r="M404" s="85">
        <v>1698</v>
      </c>
      <c r="N404" s="85">
        <v>2426</v>
      </c>
      <c r="O404" s="85"/>
      <c r="P404" s="85">
        <v>2546</v>
      </c>
      <c r="Q404" s="85">
        <v>0</v>
      </c>
      <c r="R404" s="85">
        <v>0</v>
      </c>
      <c r="S404" s="85">
        <v>0</v>
      </c>
      <c r="T404" s="85">
        <v>0</v>
      </c>
      <c r="U404" s="85" t="s">
        <v>326</v>
      </c>
      <c r="V404" s="88" t="s">
        <v>133</v>
      </c>
      <c r="W404" s="85">
        <v>12</v>
      </c>
      <c r="X404" s="85">
        <v>6.7</v>
      </c>
      <c r="Y404" s="15">
        <f t="shared" si="140"/>
        <v>3.9083333333333337</v>
      </c>
      <c r="Z404" s="16">
        <f t="shared" si="126"/>
        <v>0.55833333333333335</v>
      </c>
      <c r="AA404" s="12">
        <f t="shared" si="127"/>
        <v>0</v>
      </c>
      <c r="AB404" s="12">
        <f t="shared" si="147"/>
        <v>0</v>
      </c>
      <c r="AC404" s="13">
        <f t="shared" si="141"/>
        <v>0</v>
      </c>
      <c r="AD404" s="13">
        <f t="shared" si="148"/>
        <v>0</v>
      </c>
      <c r="AE404" s="13">
        <f t="shared" si="130"/>
        <v>615.52238805970148</v>
      </c>
      <c r="AF404" s="12">
        <f t="shared" si="116"/>
        <v>253.43283582089552</v>
      </c>
      <c r="AG404" s="12">
        <f t="shared" si="117"/>
        <v>362.08955223880594</v>
      </c>
      <c r="AH404" s="12">
        <f t="shared" si="118"/>
        <v>0</v>
      </c>
      <c r="AI404" s="12">
        <f t="shared" si="149"/>
        <v>0.24955908289241621</v>
      </c>
      <c r="AJ404" s="12">
        <f t="shared" si="150"/>
        <v>0.3565549676660788</v>
      </c>
      <c r="AK404" s="12">
        <f t="shared" si="151"/>
        <v>0</v>
      </c>
      <c r="AL404" s="12">
        <f t="shared" si="122"/>
        <v>0.60611405055849499</v>
      </c>
      <c r="AM404" s="13">
        <f t="shared" si="134"/>
        <v>0</v>
      </c>
      <c r="AN404" s="13">
        <f t="shared" si="135"/>
        <v>380</v>
      </c>
      <c r="AO404" s="13">
        <f t="shared" si="136"/>
        <v>0</v>
      </c>
      <c r="AP404" s="13">
        <f t="shared" si="137"/>
        <v>0</v>
      </c>
      <c r="AQ404" s="12">
        <f t="shared" si="152"/>
        <v>6670</v>
      </c>
      <c r="AR404" s="13">
        <f t="shared" si="139"/>
        <v>995.52238805970148</v>
      </c>
      <c r="AS404" s="91" t="s">
        <v>381</v>
      </c>
      <c r="AT404" s="94"/>
      <c r="AU404" s="94"/>
    </row>
    <row r="405" spans="1:47" x14ac:dyDescent="0.25">
      <c r="A405" s="87">
        <v>46115</v>
      </c>
      <c r="B405" s="10" t="str">
        <f t="shared" si="153"/>
        <v>2026</v>
      </c>
      <c r="C405" s="10" t="str">
        <f t="shared" si="154"/>
        <v>April</v>
      </c>
      <c r="D405" s="84" t="s">
        <v>325</v>
      </c>
      <c r="E405" s="90">
        <v>621</v>
      </c>
      <c r="F405" s="12">
        <f t="shared" si="143"/>
        <v>8383.5</v>
      </c>
      <c r="G405" s="12">
        <f t="shared" si="146"/>
        <v>821.91176470588243</v>
      </c>
      <c r="H405" s="88" t="s">
        <v>31</v>
      </c>
      <c r="I405" s="89">
        <v>0</v>
      </c>
      <c r="J405" s="85">
        <v>57</v>
      </c>
      <c r="K405" s="85"/>
      <c r="L405" s="6">
        <f t="shared" si="125"/>
        <v>6984</v>
      </c>
      <c r="M405" s="85">
        <v>2711</v>
      </c>
      <c r="N405" s="85">
        <v>4273</v>
      </c>
      <c r="O405" s="85"/>
      <c r="P405" s="85">
        <v>3876</v>
      </c>
      <c r="Q405" s="85">
        <v>0</v>
      </c>
      <c r="R405" s="85">
        <v>0</v>
      </c>
      <c r="S405" s="85">
        <v>0</v>
      </c>
      <c r="T405" s="85">
        <v>0</v>
      </c>
      <c r="U405" s="85" t="s">
        <v>326</v>
      </c>
      <c r="V405" s="88" t="s">
        <v>133</v>
      </c>
      <c r="W405" s="85">
        <v>12</v>
      </c>
      <c r="X405" s="85">
        <v>10.199999999999999</v>
      </c>
      <c r="Y405" s="15">
        <f t="shared" si="140"/>
        <v>5.95</v>
      </c>
      <c r="Z405" s="16">
        <f t="shared" si="126"/>
        <v>0.85</v>
      </c>
      <c r="AA405" s="12">
        <f t="shared" si="127"/>
        <v>0</v>
      </c>
      <c r="AB405" s="12">
        <f t="shared" si="147"/>
        <v>0</v>
      </c>
      <c r="AC405" s="13">
        <f t="shared" si="141"/>
        <v>0</v>
      </c>
      <c r="AD405" s="13">
        <f t="shared" si="148"/>
        <v>0</v>
      </c>
      <c r="AE405" s="13">
        <f t="shared" si="130"/>
        <v>684.70588235294122</v>
      </c>
      <c r="AF405" s="12">
        <f t="shared" si="116"/>
        <v>265.78431372549022</v>
      </c>
      <c r="AG405" s="12">
        <f t="shared" si="117"/>
        <v>418.92156862745099</v>
      </c>
      <c r="AH405" s="12">
        <f t="shared" si="118"/>
        <v>0</v>
      </c>
      <c r="AI405" s="12">
        <f t="shared" si="149"/>
        <v>0.32337329277747956</v>
      </c>
      <c r="AJ405" s="12">
        <f t="shared" si="150"/>
        <v>0.50969165622949841</v>
      </c>
      <c r="AK405" s="12">
        <f t="shared" si="151"/>
        <v>0</v>
      </c>
      <c r="AL405" s="12">
        <f t="shared" si="122"/>
        <v>0.83306494900697792</v>
      </c>
      <c r="AM405" s="13">
        <f t="shared" si="134"/>
        <v>0</v>
      </c>
      <c r="AN405" s="13">
        <f t="shared" si="135"/>
        <v>380</v>
      </c>
      <c r="AO405" s="13">
        <f t="shared" si="136"/>
        <v>0</v>
      </c>
      <c r="AP405" s="13">
        <f t="shared" si="137"/>
        <v>0</v>
      </c>
      <c r="AQ405" s="12">
        <f t="shared" si="152"/>
        <v>10860</v>
      </c>
      <c r="AR405" s="13">
        <f t="shared" si="139"/>
        <v>1064.7058823529412</v>
      </c>
      <c r="AS405" s="91" t="s">
        <v>382</v>
      </c>
      <c r="AT405" s="94"/>
      <c r="AU405" s="94"/>
    </row>
    <row r="406" spans="1:47" x14ac:dyDescent="0.25">
      <c r="A406" s="87">
        <v>46118</v>
      </c>
      <c r="B406" s="10" t="str">
        <f t="shared" si="153"/>
        <v>2026</v>
      </c>
      <c r="C406" s="10" t="str">
        <f t="shared" si="154"/>
        <v>April</v>
      </c>
      <c r="D406" s="84" t="s">
        <v>325</v>
      </c>
      <c r="E406" s="90">
        <v>252</v>
      </c>
      <c r="F406" s="12">
        <f t="shared" si="143"/>
        <v>3402</v>
      </c>
      <c r="G406" s="12">
        <f t="shared" si="146"/>
        <v>1173.1034482758621</v>
      </c>
      <c r="H406" s="88" t="s">
        <v>31</v>
      </c>
      <c r="I406" s="89">
        <v>0</v>
      </c>
      <c r="J406" s="85">
        <v>57</v>
      </c>
      <c r="K406" s="85"/>
      <c r="L406" s="6">
        <f t="shared" si="125"/>
        <v>2111</v>
      </c>
      <c r="M406" s="85">
        <v>776</v>
      </c>
      <c r="N406" s="85">
        <v>1335</v>
      </c>
      <c r="O406" s="85"/>
      <c r="P406" s="85">
        <v>1102</v>
      </c>
      <c r="Q406" s="85">
        <v>0</v>
      </c>
      <c r="R406" s="85">
        <v>0</v>
      </c>
      <c r="S406" s="85">
        <v>0</v>
      </c>
      <c r="T406" s="85">
        <v>0</v>
      </c>
      <c r="U406" s="85" t="s">
        <v>326</v>
      </c>
      <c r="V406" s="88" t="s">
        <v>133</v>
      </c>
      <c r="W406" s="85">
        <v>12</v>
      </c>
      <c r="X406" s="85">
        <v>2.9</v>
      </c>
      <c r="Y406" s="15">
        <f t="shared" si="140"/>
        <v>1.6916666666666667</v>
      </c>
      <c r="Z406" s="16">
        <f t="shared" si="126"/>
        <v>0.24166666666666667</v>
      </c>
      <c r="AA406" s="12">
        <f t="shared" si="127"/>
        <v>0</v>
      </c>
      <c r="AB406" s="12">
        <f t="shared" si="147"/>
        <v>0</v>
      </c>
      <c r="AC406" s="13">
        <f t="shared" si="141"/>
        <v>0</v>
      </c>
      <c r="AD406" s="13">
        <f t="shared" si="148"/>
        <v>0</v>
      </c>
      <c r="AE406" s="13">
        <f t="shared" si="130"/>
        <v>727.93103448275861</v>
      </c>
      <c r="AF406" s="12">
        <f t="shared" si="116"/>
        <v>267.58620689655174</v>
      </c>
      <c r="AG406" s="12">
        <f t="shared" si="117"/>
        <v>460.34482758620692</v>
      </c>
      <c r="AH406" s="12">
        <f t="shared" si="118"/>
        <v>0</v>
      </c>
      <c r="AI406" s="12">
        <f t="shared" si="149"/>
        <v>0.22810111699000588</v>
      </c>
      <c r="AJ406" s="12">
        <f t="shared" si="150"/>
        <v>0.39241622574955909</v>
      </c>
      <c r="AK406" s="12">
        <f t="shared" si="151"/>
        <v>0</v>
      </c>
      <c r="AL406" s="12">
        <f t="shared" si="122"/>
        <v>0.62051734273956494</v>
      </c>
      <c r="AM406" s="13">
        <f t="shared" si="134"/>
        <v>0</v>
      </c>
      <c r="AN406" s="13">
        <f t="shared" si="135"/>
        <v>380</v>
      </c>
      <c r="AO406" s="13">
        <f t="shared" si="136"/>
        <v>0</v>
      </c>
      <c r="AP406" s="13">
        <f t="shared" si="137"/>
        <v>0</v>
      </c>
      <c r="AQ406" s="12">
        <f t="shared" si="152"/>
        <v>3213</v>
      </c>
      <c r="AR406" s="13">
        <f t="shared" si="139"/>
        <v>1107.9310344827586</v>
      </c>
      <c r="AS406" s="91" t="s">
        <v>383</v>
      </c>
      <c r="AT406" s="94"/>
      <c r="AU406" s="94"/>
    </row>
    <row r="407" spans="1:47" x14ac:dyDescent="0.25">
      <c r="A407" s="87">
        <v>46119</v>
      </c>
      <c r="B407" s="10" t="str">
        <f t="shared" si="153"/>
        <v>2026</v>
      </c>
      <c r="C407" s="10" t="str">
        <f t="shared" si="154"/>
        <v>April</v>
      </c>
      <c r="D407" s="84" t="s">
        <v>325</v>
      </c>
      <c r="E407" s="90">
        <v>440</v>
      </c>
      <c r="F407" s="12">
        <f t="shared" si="143"/>
        <v>5940</v>
      </c>
      <c r="G407" s="12">
        <f t="shared" si="146"/>
        <v>848.57142857142856</v>
      </c>
      <c r="H407" s="88" t="s">
        <v>31</v>
      </c>
      <c r="I407" s="89">
        <v>0</v>
      </c>
      <c r="J407" s="85">
        <v>57</v>
      </c>
      <c r="K407" s="85"/>
      <c r="L407" s="6">
        <f t="shared" si="125"/>
        <v>5097</v>
      </c>
      <c r="M407" s="85">
        <v>1940</v>
      </c>
      <c r="N407" s="85">
        <v>3157</v>
      </c>
      <c r="O407" s="85"/>
      <c r="P407" s="85">
        <v>2660</v>
      </c>
      <c r="Q407" s="85">
        <v>0</v>
      </c>
      <c r="R407" s="85">
        <v>0</v>
      </c>
      <c r="S407" s="85">
        <v>0</v>
      </c>
      <c r="T407" s="85">
        <v>0</v>
      </c>
      <c r="U407" s="85" t="s">
        <v>326</v>
      </c>
      <c r="V407" s="88" t="s">
        <v>133</v>
      </c>
      <c r="W407" s="85">
        <v>12</v>
      </c>
      <c r="X407" s="85">
        <v>7</v>
      </c>
      <c r="Y407" s="15">
        <f t="shared" si="140"/>
        <v>4.0833333333333339</v>
      </c>
      <c r="Z407" s="16">
        <f t="shared" si="126"/>
        <v>0.58333333333333337</v>
      </c>
      <c r="AA407" s="12">
        <f t="shared" si="127"/>
        <v>0</v>
      </c>
      <c r="AB407" s="12">
        <f t="shared" si="147"/>
        <v>0</v>
      </c>
      <c r="AC407" s="13">
        <f t="shared" si="141"/>
        <v>0</v>
      </c>
      <c r="AD407" s="13">
        <f t="shared" si="148"/>
        <v>0</v>
      </c>
      <c r="AE407" s="13">
        <f t="shared" si="130"/>
        <v>728.14285714285711</v>
      </c>
      <c r="AF407" s="12">
        <f t="shared" ref="AF407:AF418" si="155">IF(X407="","",IF(X407=0,"",M407/X407))</f>
        <v>277.14285714285717</v>
      </c>
      <c r="AG407" s="12">
        <f t="shared" ref="AG407:AG418" si="156">IF(X407="","",IF(X407=0,"",N407/X407))</f>
        <v>451</v>
      </c>
      <c r="AH407" s="12">
        <f t="shared" ref="AH407:AH418" si="157">IF(X407="","",IF(X407=0,"",O407/X407))</f>
        <v>0</v>
      </c>
      <c r="AI407" s="12">
        <f t="shared" si="149"/>
        <v>0.32659932659932661</v>
      </c>
      <c r="AJ407" s="12">
        <f t="shared" si="150"/>
        <v>0.53148148148148144</v>
      </c>
      <c r="AK407" s="12">
        <f t="shared" si="151"/>
        <v>0</v>
      </c>
      <c r="AL407" s="12">
        <f t="shared" ref="AL407:AL419" si="158">AI407+AJ407+AK407</f>
        <v>0.858080808080808</v>
      </c>
      <c r="AM407" s="13">
        <f t="shared" si="134"/>
        <v>0</v>
      </c>
      <c r="AN407" s="13">
        <f t="shared" si="135"/>
        <v>380</v>
      </c>
      <c r="AO407" s="13">
        <f t="shared" si="136"/>
        <v>0</v>
      </c>
      <c r="AP407" s="13">
        <f t="shared" si="137"/>
        <v>0</v>
      </c>
      <c r="AQ407" s="12">
        <f t="shared" si="152"/>
        <v>7757</v>
      </c>
      <c r="AR407" s="13">
        <f t="shared" si="139"/>
        <v>1108.1428571428571</v>
      </c>
      <c r="AS407" s="91" t="s">
        <v>384</v>
      </c>
      <c r="AT407" s="94"/>
      <c r="AU407" s="94"/>
    </row>
    <row r="408" spans="1:47" x14ac:dyDescent="0.25">
      <c r="A408" s="87">
        <v>46121</v>
      </c>
      <c r="B408" s="10" t="str">
        <f t="shared" si="153"/>
        <v>2026</v>
      </c>
      <c r="C408" s="10" t="str">
        <f t="shared" si="154"/>
        <v>April</v>
      </c>
      <c r="D408" s="84" t="s">
        <v>325</v>
      </c>
      <c r="E408" s="90">
        <v>845</v>
      </c>
      <c r="F408" s="12">
        <f t="shared" si="143"/>
        <v>11407.5</v>
      </c>
      <c r="G408" s="12">
        <f t="shared" si="146"/>
        <v>1140.75</v>
      </c>
      <c r="H408" s="88" t="s">
        <v>31</v>
      </c>
      <c r="I408" s="89">
        <v>0</v>
      </c>
      <c r="J408" s="85">
        <v>57</v>
      </c>
      <c r="K408" s="85"/>
      <c r="L408" s="6">
        <f t="shared" si="125"/>
        <v>7291</v>
      </c>
      <c r="M408" s="85">
        <v>3016</v>
      </c>
      <c r="N408" s="85">
        <v>4275</v>
      </c>
      <c r="O408" s="85"/>
      <c r="P408" s="85">
        <v>3800</v>
      </c>
      <c r="Q408" s="85">
        <v>0</v>
      </c>
      <c r="R408" s="85">
        <v>0</v>
      </c>
      <c r="S408" s="85">
        <v>0</v>
      </c>
      <c r="T408" s="85">
        <v>0</v>
      </c>
      <c r="U408" s="85" t="s">
        <v>326</v>
      </c>
      <c r="V408" s="88" t="s">
        <v>133</v>
      </c>
      <c r="W408" s="85">
        <v>12</v>
      </c>
      <c r="X408" s="85">
        <v>10</v>
      </c>
      <c r="Y408" s="15">
        <f t="shared" si="140"/>
        <v>5.8333333333333339</v>
      </c>
      <c r="Z408" s="16">
        <f t="shared" si="126"/>
        <v>0.83333333333333337</v>
      </c>
      <c r="AA408" s="12">
        <f t="shared" si="127"/>
        <v>0</v>
      </c>
      <c r="AB408" s="12">
        <f t="shared" si="147"/>
        <v>0</v>
      </c>
      <c r="AC408" s="13">
        <f t="shared" si="141"/>
        <v>0</v>
      </c>
      <c r="AD408" s="13">
        <f t="shared" si="148"/>
        <v>0</v>
      </c>
      <c r="AE408" s="13">
        <f t="shared" si="130"/>
        <v>729.1</v>
      </c>
      <c r="AF408" s="12">
        <f t="shared" si="155"/>
        <v>301.60000000000002</v>
      </c>
      <c r="AG408" s="12">
        <f t="shared" si="156"/>
        <v>427.5</v>
      </c>
      <c r="AH408" s="12">
        <f t="shared" si="157"/>
        <v>0</v>
      </c>
      <c r="AI408" s="12">
        <f t="shared" si="149"/>
        <v>0.26438746438746441</v>
      </c>
      <c r="AJ408" s="12">
        <f t="shared" si="150"/>
        <v>0.37475345167652863</v>
      </c>
      <c r="AK408" s="12">
        <f t="shared" si="151"/>
        <v>0</v>
      </c>
      <c r="AL408" s="12">
        <f t="shared" si="158"/>
        <v>0.63914091606399304</v>
      </c>
      <c r="AM408" s="13">
        <f t="shared" si="134"/>
        <v>0</v>
      </c>
      <c r="AN408" s="13">
        <f t="shared" si="135"/>
        <v>380</v>
      </c>
      <c r="AO408" s="13">
        <f t="shared" si="136"/>
        <v>0</v>
      </c>
      <c r="AP408" s="13">
        <f t="shared" si="137"/>
        <v>0</v>
      </c>
      <c r="AQ408" s="12">
        <f t="shared" si="152"/>
        <v>11091</v>
      </c>
      <c r="AR408" s="13">
        <f t="shared" si="139"/>
        <v>1109.0999999999999</v>
      </c>
      <c r="AS408" s="91" t="s">
        <v>385</v>
      </c>
      <c r="AT408" s="94"/>
      <c r="AU408" s="94"/>
    </row>
    <row r="409" spans="1:47" x14ac:dyDescent="0.25">
      <c r="A409" s="87">
        <v>46122</v>
      </c>
      <c r="B409" s="10" t="str">
        <f t="shared" si="153"/>
        <v>2026</v>
      </c>
      <c r="C409" s="10" t="str">
        <f t="shared" si="154"/>
        <v>April</v>
      </c>
      <c r="D409" s="84" t="s">
        <v>325</v>
      </c>
      <c r="E409" s="90">
        <v>841</v>
      </c>
      <c r="F409" s="12">
        <f t="shared" si="143"/>
        <v>11353.5</v>
      </c>
      <c r="G409" s="12">
        <f t="shared" si="146"/>
        <v>1061.0747663551404</v>
      </c>
      <c r="H409" s="88" t="s">
        <v>31</v>
      </c>
      <c r="I409" s="89">
        <v>0</v>
      </c>
      <c r="J409" s="85">
        <v>57</v>
      </c>
      <c r="K409" s="85"/>
      <c r="L409" s="6">
        <f t="shared" si="125"/>
        <v>7955</v>
      </c>
      <c r="M409" s="85">
        <v>3631</v>
      </c>
      <c r="N409" s="85">
        <v>4324</v>
      </c>
      <c r="O409" s="85"/>
      <c r="P409" s="85">
        <v>4066</v>
      </c>
      <c r="Q409" s="85">
        <v>0</v>
      </c>
      <c r="R409" s="85">
        <v>0</v>
      </c>
      <c r="S409" s="85">
        <v>0</v>
      </c>
      <c r="T409" s="85">
        <v>0</v>
      </c>
      <c r="U409" s="85" t="s">
        <v>326</v>
      </c>
      <c r="V409" s="88" t="s">
        <v>133</v>
      </c>
      <c r="W409" s="85">
        <v>12</v>
      </c>
      <c r="X409" s="85">
        <v>10.7</v>
      </c>
      <c r="Y409" s="15">
        <f t="shared" si="140"/>
        <v>6.2416666666666663</v>
      </c>
      <c r="Z409" s="16">
        <f t="shared" si="126"/>
        <v>0.89166666666666661</v>
      </c>
      <c r="AA409" s="12">
        <f t="shared" si="127"/>
        <v>0</v>
      </c>
      <c r="AB409" s="12">
        <f t="shared" si="147"/>
        <v>0</v>
      </c>
      <c r="AC409" s="13">
        <f t="shared" si="141"/>
        <v>0</v>
      </c>
      <c r="AD409" s="13">
        <f t="shared" si="148"/>
        <v>0</v>
      </c>
      <c r="AE409" s="13">
        <f t="shared" si="130"/>
        <v>743.45794392523374</v>
      </c>
      <c r="AF409" s="12">
        <f t="shared" si="155"/>
        <v>339.34579439252337</v>
      </c>
      <c r="AG409" s="12">
        <f t="shared" si="156"/>
        <v>404.1121495327103</v>
      </c>
      <c r="AH409" s="12">
        <f t="shared" si="157"/>
        <v>0</v>
      </c>
      <c r="AI409" s="12">
        <f t="shared" si="149"/>
        <v>0.3198132734399084</v>
      </c>
      <c r="AJ409" s="12">
        <f t="shared" si="150"/>
        <v>0.38085171973400272</v>
      </c>
      <c r="AK409" s="12">
        <f t="shared" si="151"/>
        <v>0</v>
      </c>
      <c r="AL409" s="12">
        <f t="shared" si="158"/>
        <v>0.70066499317391107</v>
      </c>
      <c r="AM409" s="13">
        <f t="shared" si="134"/>
        <v>0</v>
      </c>
      <c r="AN409" s="13">
        <f t="shared" si="135"/>
        <v>380</v>
      </c>
      <c r="AO409" s="13">
        <f t="shared" si="136"/>
        <v>0</v>
      </c>
      <c r="AP409" s="13">
        <f t="shared" si="137"/>
        <v>0</v>
      </c>
      <c r="AQ409" s="12">
        <f t="shared" si="152"/>
        <v>12021</v>
      </c>
      <c r="AR409" s="13">
        <f t="shared" si="139"/>
        <v>1123.4579439252338</v>
      </c>
      <c r="AS409" s="91" t="s">
        <v>386</v>
      </c>
      <c r="AT409" s="94"/>
      <c r="AU409" s="94"/>
    </row>
    <row r="410" spans="1:47" x14ac:dyDescent="0.25">
      <c r="A410" s="87">
        <v>46125</v>
      </c>
      <c r="B410" s="10" t="str">
        <f t="shared" si="153"/>
        <v>2026</v>
      </c>
      <c r="C410" s="10" t="str">
        <f t="shared" si="154"/>
        <v>April</v>
      </c>
      <c r="D410" s="84" t="s">
        <v>325</v>
      </c>
      <c r="E410" s="90">
        <v>762</v>
      </c>
      <c r="F410" s="12">
        <f t="shared" si="143"/>
        <v>10287</v>
      </c>
      <c r="G410" s="12">
        <f t="shared" si="146"/>
        <v>1039.090909090909</v>
      </c>
      <c r="H410" s="88" t="s">
        <v>31</v>
      </c>
      <c r="I410" s="89">
        <v>0</v>
      </c>
      <c r="J410" s="85">
        <v>57</v>
      </c>
      <c r="K410" s="85"/>
      <c r="L410" s="6">
        <f t="shared" si="125"/>
        <v>8080</v>
      </c>
      <c r="M410" s="85">
        <v>3408</v>
      </c>
      <c r="N410" s="85">
        <v>4672</v>
      </c>
      <c r="O410" s="85"/>
      <c r="P410" s="85">
        <v>3762</v>
      </c>
      <c r="Q410" s="85">
        <v>0</v>
      </c>
      <c r="R410" s="85">
        <v>0</v>
      </c>
      <c r="S410" s="85">
        <v>0</v>
      </c>
      <c r="T410" s="85">
        <v>0</v>
      </c>
      <c r="U410" s="85" t="s">
        <v>326</v>
      </c>
      <c r="V410" s="88" t="s">
        <v>133</v>
      </c>
      <c r="W410" s="85">
        <v>12</v>
      </c>
      <c r="X410" s="85">
        <v>9.9</v>
      </c>
      <c r="Y410" s="15">
        <f t="shared" si="140"/>
        <v>5.7750000000000004</v>
      </c>
      <c r="Z410" s="16">
        <f t="shared" si="126"/>
        <v>0.82500000000000007</v>
      </c>
      <c r="AA410" s="12">
        <f t="shared" si="127"/>
        <v>0</v>
      </c>
      <c r="AB410" s="12">
        <f t="shared" si="147"/>
        <v>0</v>
      </c>
      <c r="AC410" s="13">
        <f t="shared" si="141"/>
        <v>0</v>
      </c>
      <c r="AD410" s="13">
        <f t="shared" si="148"/>
        <v>0</v>
      </c>
      <c r="AE410" s="13">
        <f t="shared" si="130"/>
        <v>816.16161616161617</v>
      </c>
      <c r="AF410" s="12">
        <f t="shared" si="155"/>
        <v>344.24242424242425</v>
      </c>
      <c r="AG410" s="12">
        <f t="shared" si="156"/>
        <v>471.91919191919192</v>
      </c>
      <c r="AH410" s="12">
        <f t="shared" si="157"/>
        <v>0</v>
      </c>
      <c r="AI410" s="12">
        <f t="shared" si="149"/>
        <v>0.33129192184310297</v>
      </c>
      <c r="AJ410" s="12">
        <f t="shared" si="150"/>
        <v>0.45416545154077964</v>
      </c>
      <c r="AK410" s="12">
        <f t="shared" si="151"/>
        <v>0</v>
      </c>
      <c r="AL410" s="12">
        <f t="shared" si="158"/>
        <v>0.78545737338388255</v>
      </c>
      <c r="AM410" s="13">
        <f t="shared" si="134"/>
        <v>0</v>
      </c>
      <c r="AN410" s="13">
        <f t="shared" si="135"/>
        <v>380</v>
      </c>
      <c r="AO410" s="13">
        <f t="shared" si="136"/>
        <v>0</v>
      </c>
      <c r="AP410" s="13">
        <f t="shared" si="137"/>
        <v>0</v>
      </c>
      <c r="AQ410" s="12">
        <f t="shared" si="152"/>
        <v>11842</v>
      </c>
      <c r="AR410" s="13">
        <f t="shared" si="139"/>
        <v>1196.1616161616162</v>
      </c>
      <c r="AS410" s="91" t="s">
        <v>387</v>
      </c>
      <c r="AT410" s="94"/>
      <c r="AU410" s="94"/>
    </row>
    <row r="411" spans="1:47" x14ac:dyDescent="0.25">
      <c r="A411" s="87">
        <v>46126</v>
      </c>
      <c r="B411" s="10" t="str">
        <f t="shared" si="153"/>
        <v>2026</v>
      </c>
      <c r="C411" s="10" t="str">
        <f t="shared" si="154"/>
        <v>April</v>
      </c>
      <c r="D411" s="84" t="s">
        <v>325</v>
      </c>
      <c r="E411" s="90">
        <v>112</v>
      </c>
      <c r="F411" s="12">
        <f t="shared" si="143"/>
        <v>1512</v>
      </c>
      <c r="G411" s="12">
        <f t="shared" si="146"/>
        <v>560</v>
      </c>
      <c r="H411" s="88" t="s">
        <v>31</v>
      </c>
      <c r="I411" s="89">
        <v>0</v>
      </c>
      <c r="J411" s="85">
        <v>57</v>
      </c>
      <c r="K411" s="85"/>
      <c r="L411" s="6">
        <f t="shared" si="125"/>
        <v>1913</v>
      </c>
      <c r="M411" s="85">
        <v>860</v>
      </c>
      <c r="N411" s="85">
        <v>1053</v>
      </c>
      <c r="O411" s="85"/>
      <c r="P411" s="85">
        <v>1026</v>
      </c>
      <c r="Q411" s="85">
        <v>0</v>
      </c>
      <c r="R411" s="85">
        <v>0</v>
      </c>
      <c r="S411" s="85">
        <v>0</v>
      </c>
      <c r="T411" s="85">
        <v>0</v>
      </c>
      <c r="U411" s="85" t="s">
        <v>326</v>
      </c>
      <c r="V411" s="88" t="s">
        <v>133</v>
      </c>
      <c r="W411" s="85">
        <v>12</v>
      </c>
      <c r="X411" s="85">
        <v>2.7</v>
      </c>
      <c r="Y411" s="15">
        <f t="shared" si="140"/>
        <v>1.5750000000000002</v>
      </c>
      <c r="Z411" s="16">
        <f t="shared" si="126"/>
        <v>0.22500000000000001</v>
      </c>
      <c r="AA411" s="12">
        <f t="shared" si="127"/>
        <v>0</v>
      </c>
      <c r="AB411" s="12">
        <f t="shared" si="147"/>
        <v>0</v>
      </c>
      <c r="AC411" s="13">
        <f t="shared" si="141"/>
        <v>0</v>
      </c>
      <c r="AD411" s="13">
        <f t="shared" si="148"/>
        <v>0</v>
      </c>
      <c r="AE411" s="13">
        <f t="shared" si="130"/>
        <v>708.51851851851848</v>
      </c>
      <c r="AF411" s="12">
        <f t="shared" si="155"/>
        <v>318.51851851851848</v>
      </c>
      <c r="AG411" s="12">
        <f t="shared" si="156"/>
        <v>390</v>
      </c>
      <c r="AH411" s="12">
        <f t="shared" si="157"/>
        <v>0</v>
      </c>
      <c r="AI411" s="12">
        <f t="shared" si="149"/>
        <v>0.56878306878306883</v>
      </c>
      <c r="AJ411" s="12">
        <f t="shared" si="150"/>
        <v>0.6964285714285714</v>
      </c>
      <c r="AK411" s="12">
        <f t="shared" si="151"/>
        <v>0</v>
      </c>
      <c r="AL411" s="12">
        <f t="shared" si="158"/>
        <v>1.2652116402116402</v>
      </c>
      <c r="AM411" s="13">
        <f t="shared" si="134"/>
        <v>0</v>
      </c>
      <c r="AN411" s="13">
        <f t="shared" si="135"/>
        <v>380</v>
      </c>
      <c r="AO411" s="13">
        <f t="shared" si="136"/>
        <v>0</v>
      </c>
      <c r="AP411" s="13">
        <f t="shared" si="137"/>
        <v>0</v>
      </c>
      <c r="AQ411" s="12">
        <f t="shared" si="152"/>
        <v>2939</v>
      </c>
      <c r="AR411" s="13">
        <f t="shared" si="139"/>
        <v>1088.5185185185185</v>
      </c>
      <c r="AS411" s="91" t="s">
        <v>388</v>
      </c>
      <c r="AT411" s="94"/>
      <c r="AU411" s="94"/>
    </row>
    <row r="412" spans="1:47" x14ac:dyDescent="0.25">
      <c r="A412" s="87">
        <v>46127</v>
      </c>
      <c r="B412" s="10" t="str">
        <f t="shared" si="153"/>
        <v>2026</v>
      </c>
      <c r="C412" s="10" t="str">
        <f t="shared" si="154"/>
        <v>April</v>
      </c>
      <c r="D412" s="84" t="s">
        <v>325</v>
      </c>
      <c r="E412" s="90">
        <v>668</v>
      </c>
      <c r="F412" s="12">
        <f t="shared" si="143"/>
        <v>9018</v>
      </c>
      <c r="G412" s="12">
        <f t="shared" ref="G412:G443" si="159">IF(X412="","",IF(X412=0,"",F412/X412))</f>
        <v>1013.2584269662921</v>
      </c>
      <c r="H412" s="88" t="s">
        <v>31</v>
      </c>
      <c r="I412" s="89">
        <v>0</v>
      </c>
      <c r="J412" s="85">
        <v>57</v>
      </c>
      <c r="K412" s="85"/>
      <c r="L412" s="6">
        <f t="shared" ref="L412:L419" si="160">M412+N412</f>
        <v>6760</v>
      </c>
      <c r="M412" s="85">
        <v>3043</v>
      </c>
      <c r="N412" s="85">
        <v>3717</v>
      </c>
      <c r="O412" s="85"/>
      <c r="P412" s="85">
        <v>3382</v>
      </c>
      <c r="Q412" s="85">
        <v>0</v>
      </c>
      <c r="R412" s="85">
        <v>0</v>
      </c>
      <c r="S412" s="85">
        <v>0</v>
      </c>
      <c r="T412" s="85">
        <v>0</v>
      </c>
      <c r="U412" s="85" t="s">
        <v>326</v>
      </c>
      <c r="V412" s="88" t="s">
        <v>133</v>
      </c>
      <c r="W412" s="85">
        <v>12</v>
      </c>
      <c r="X412" s="85">
        <v>8.9</v>
      </c>
      <c r="Y412" s="15">
        <f t="shared" si="140"/>
        <v>5.1916666666666673</v>
      </c>
      <c r="Z412" s="16">
        <f t="shared" ref="Z412:Z419" si="161">X412/W412</f>
        <v>0.7416666666666667</v>
      </c>
      <c r="AA412" s="12">
        <f t="shared" ref="AA412:AA418" si="162">IF(X412="","",IF(X412=0,"",K412/X412))</f>
        <v>0</v>
      </c>
      <c r="AB412" s="12">
        <f t="shared" ref="AB412:AB419" si="163">IF(X412="","",IF(X412=0,"",K412/F412))</f>
        <v>0</v>
      </c>
      <c r="AC412" s="13">
        <f t="shared" si="141"/>
        <v>0</v>
      </c>
      <c r="AD412" s="13">
        <f t="shared" ref="AD412:AD419" si="164">I412/X412</f>
        <v>0</v>
      </c>
      <c r="AE412" s="13">
        <f t="shared" ref="AE412:AE419" si="165">L412/X412</f>
        <v>759.55056179775283</v>
      </c>
      <c r="AF412" s="12">
        <f t="shared" si="155"/>
        <v>341.91011235955057</v>
      </c>
      <c r="AG412" s="12">
        <f t="shared" si="156"/>
        <v>417.64044943820221</v>
      </c>
      <c r="AH412" s="12">
        <f t="shared" si="157"/>
        <v>0</v>
      </c>
      <c r="AI412" s="12">
        <f t="shared" ref="AI412:AI419" si="166">IF(X412="","",IF(X412=0,"",M412/F412))</f>
        <v>0.33743623863384342</v>
      </c>
      <c r="AJ412" s="12">
        <f t="shared" ref="AJ412:AJ419" si="167">IF(X412="","",IF(X412=0,"",N412/F412))</f>
        <v>0.41217564870259482</v>
      </c>
      <c r="AK412" s="12">
        <f t="shared" ref="AK412:AK419" si="168">IF(X412="","",IF(X412=0,"",O412/F412))</f>
        <v>0</v>
      </c>
      <c r="AL412" s="12">
        <f t="shared" si="158"/>
        <v>0.74961188733643824</v>
      </c>
      <c r="AM412" s="13">
        <f t="shared" ref="AM412:AM419" si="169">R412/X412</f>
        <v>0</v>
      </c>
      <c r="AN412" s="13">
        <f t="shared" ref="AN412:AN419" si="170">P412/X412</f>
        <v>380</v>
      </c>
      <c r="AO412" s="13">
        <f t="shared" ref="AO412:AO419" si="171">S412/X412</f>
        <v>0</v>
      </c>
      <c r="AP412" s="13">
        <f t="shared" ref="AP412:AP419" si="172">T412/X412</f>
        <v>0</v>
      </c>
      <c r="AQ412" s="12">
        <f t="shared" ref="AQ412:AQ419" si="173">R412+Q412+P412+L412+I412</f>
        <v>10142</v>
      </c>
      <c r="AR412" s="13">
        <f t="shared" ref="AR412:AR419" si="174">AO412+AN412+AM412+AE412+AD412+AC412</f>
        <v>1139.5505617977528</v>
      </c>
      <c r="AS412" s="91" t="s">
        <v>389</v>
      </c>
      <c r="AT412" s="94"/>
      <c r="AU412" s="94"/>
    </row>
    <row r="413" spans="1:47" x14ac:dyDescent="0.25">
      <c r="A413" s="87">
        <v>46128</v>
      </c>
      <c r="B413" s="10" t="str">
        <f t="shared" si="153"/>
        <v>2026</v>
      </c>
      <c r="C413" s="10" t="str">
        <f t="shared" si="154"/>
        <v>April</v>
      </c>
      <c r="D413" s="84" t="s">
        <v>325</v>
      </c>
      <c r="E413" s="90">
        <v>390</v>
      </c>
      <c r="F413" s="12">
        <f t="shared" si="143"/>
        <v>5265</v>
      </c>
      <c r="G413" s="12">
        <f t="shared" si="159"/>
        <v>1032.3529411764707</v>
      </c>
      <c r="H413" s="88" t="s">
        <v>31</v>
      </c>
      <c r="I413" s="89">
        <v>0</v>
      </c>
      <c r="J413" s="85">
        <v>57</v>
      </c>
      <c r="K413" s="85"/>
      <c r="L413" s="6">
        <f t="shared" si="160"/>
        <v>4078</v>
      </c>
      <c r="M413" s="85">
        <v>2385</v>
      </c>
      <c r="N413" s="85">
        <v>1693</v>
      </c>
      <c r="O413" s="85"/>
      <c r="P413" s="85">
        <v>1938</v>
      </c>
      <c r="Q413" s="85">
        <v>0</v>
      </c>
      <c r="R413" s="85">
        <v>0</v>
      </c>
      <c r="S413" s="85">
        <v>0</v>
      </c>
      <c r="T413" s="85">
        <v>0</v>
      </c>
      <c r="U413" s="85" t="s">
        <v>326</v>
      </c>
      <c r="V413" s="88" t="s">
        <v>133</v>
      </c>
      <c r="W413" s="85">
        <v>12</v>
      </c>
      <c r="X413" s="85">
        <v>5.0999999999999996</v>
      </c>
      <c r="Y413" s="15">
        <f t="shared" ref="Y413:Y419" si="175">SUM(X413)/(W413*Y$2)</f>
        <v>2.9750000000000001</v>
      </c>
      <c r="Z413" s="16">
        <f t="shared" si="161"/>
        <v>0.42499999999999999</v>
      </c>
      <c r="AA413" s="12">
        <f t="shared" si="162"/>
        <v>0</v>
      </c>
      <c r="AB413" s="12">
        <f t="shared" si="163"/>
        <v>0</v>
      </c>
      <c r="AC413" s="13">
        <f t="shared" ref="AC413:AC419" si="176">Q413/X413</f>
        <v>0</v>
      </c>
      <c r="AD413" s="13">
        <f t="shared" si="164"/>
        <v>0</v>
      </c>
      <c r="AE413" s="13">
        <f t="shared" si="165"/>
        <v>799.60784313725492</v>
      </c>
      <c r="AF413" s="12">
        <f t="shared" si="155"/>
        <v>467.64705882352945</v>
      </c>
      <c r="AG413" s="12">
        <f t="shared" si="156"/>
        <v>331.96078431372553</v>
      </c>
      <c r="AH413" s="12">
        <f t="shared" si="157"/>
        <v>0</v>
      </c>
      <c r="AI413" s="12">
        <f t="shared" si="166"/>
        <v>0.45299145299145299</v>
      </c>
      <c r="AJ413" s="12">
        <f t="shared" si="167"/>
        <v>0.32155745489078824</v>
      </c>
      <c r="AK413" s="12">
        <f t="shared" si="168"/>
        <v>0</v>
      </c>
      <c r="AL413" s="12">
        <f t="shared" si="158"/>
        <v>0.77454890788224118</v>
      </c>
      <c r="AM413" s="13">
        <f t="shared" si="169"/>
        <v>0</v>
      </c>
      <c r="AN413" s="13">
        <f t="shared" si="170"/>
        <v>380</v>
      </c>
      <c r="AO413" s="13">
        <f t="shared" si="171"/>
        <v>0</v>
      </c>
      <c r="AP413" s="13">
        <f t="shared" si="172"/>
        <v>0</v>
      </c>
      <c r="AQ413" s="12">
        <f t="shared" si="173"/>
        <v>6016</v>
      </c>
      <c r="AR413" s="13">
        <f t="shared" si="174"/>
        <v>1179.6078431372548</v>
      </c>
      <c r="AS413" s="91" t="s">
        <v>390</v>
      </c>
      <c r="AT413" s="94"/>
      <c r="AU413" s="94"/>
    </row>
    <row r="414" spans="1:47" x14ac:dyDescent="0.25">
      <c r="A414" s="87">
        <v>46129</v>
      </c>
      <c r="B414" s="10" t="str">
        <f t="shared" si="153"/>
        <v>2026</v>
      </c>
      <c r="C414" s="10" t="str">
        <f t="shared" si="154"/>
        <v>April</v>
      </c>
      <c r="D414" s="84" t="s">
        <v>325</v>
      </c>
      <c r="E414" s="90">
        <v>346</v>
      </c>
      <c r="F414" s="12">
        <f t="shared" si="143"/>
        <v>4671</v>
      </c>
      <c r="G414" s="12">
        <f t="shared" si="159"/>
        <v>973.125</v>
      </c>
      <c r="H414" s="88" t="s">
        <v>31</v>
      </c>
      <c r="I414" s="89">
        <v>0</v>
      </c>
      <c r="J414" s="85">
        <v>57</v>
      </c>
      <c r="K414" s="85"/>
      <c r="L414" s="6">
        <f t="shared" si="160"/>
        <v>3630</v>
      </c>
      <c r="M414" s="85">
        <v>1442</v>
      </c>
      <c r="N414" s="85">
        <v>2188</v>
      </c>
      <c r="O414" s="85"/>
      <c r="P414" s="85">
        <v>1824</v>
      </c>
      <c r="Q414" s="85">
        <v>0</v>
      </c>
      <c r="R414" s="85">
        <v>0</v>
      </c>
      <c r="S414" s="85">
        <v>0</v>
      </c>
      <c r="T414" s="85">
        <v>0</v>
      </c>
      <c r="U414" s="85" t="s">
        <v>326</v>
      </c>
      <c r="V414" s="88" t="s">
        <v>133</v>
      </c>
      <c r="W414" s="85">
        <v>12</v>
      </c>
      <c r="X414" s="85">
        <v>4.8</v>
      </c>
      <c r="Y414" s="15">
        <f t="shared" si="175"/>
        <v>2.8000000000000003</v>
      </c>
      <c r="Z414" s="16">
        <f t="shared" si="161"/>
        <v>0.39999999999999997</v>
      </c>
      <c r="AA414" s="12">
        <f t="shared" si="162"/>
        <v>0</v>
      </c>
      <c r="AB414" s="12">
        <f t="shared" si="163"/>
        <v>0</v>
      </c>
      <c r="AC414" s="13">
        <f t="shared" si="176"/>
        <v>0</v>
      </c>
      <c r="AD414" s="13">
        <f t="shared" si="164"/>
        <v>0</v>
      </c>
      <c r="AE414" s="13">
        <f t="shared" si="165"/>
        <v>756.25</v>
      </c>
      <c r="AF414" s="12">
        <f t="shared" si="155"/>
        <v>300.41666666666669</v>
      </c>
      <c r="AG414" s="12">
        <f t="shared" si="156"/>
        <v>455.83333333333337</v>
      </c>
      <c r="AH414" s="12">
        <f t="shared" si="157"/>
        <v>0</v>
      </c>
      <c r="AI414" s="12">
        <f t="shared" si="166"/>
        <v>0.30871333761507169</v>
      </c>
      <c r="AJ414" s="12">
        <f t="shared" si="167"/>
        <v>0.46842217940483838</v>
      </c>
      <c r="AK414" s="12">
        <f t="shared" si="168"/>
        <v>0</v>
      </c>
      <c r="AL414" s="12">
        <f t="shared" si="158"/>
        <v>0.77713551701991013</v>
      </c>
      <c r="AM414" s="13">
        <f t="shared" si="169"/>
        <v>0</v>
      </c>
      <c r="AN414" s="13">
        <f t="shared" si="170"/>
        <v>380</v>
      </c>
      <c r="AO414" s="13">
        <f t="shared" si="171"/>
        <v>0</v>
      </c>
      <c r="AP414" s="13">
        <f t="shared" si="172"/>
        <v>0</v>
      </c>
      <c r="AQ414" s="12">
        <f t="shared" si="173"/>
        <v>5454</v>
      </c>
      <c r="AR414" s="13">
        <f t="shared" si="174"/>
        <v>1136.25</v>
      </c>
      <c r="AS414" s="91" t="s">
        <v>391</v>
      </c>
      <c r="AT414" s="94"/>
      <c r="AU414" s="94"/>
    </row>
    <row r="415" spans="1:47" x14ac:dyDescent="0.25">
      <c r="A415" s="87">
        <v>46132</v>
      </c>
      <c r="B415" s="10" t="str">
        <f t="shared" si="153"/>
        <v>2026</v>
      </c>
      <c r="C415" s="10" t="str">
        <f t="shared" si="154"/>
        <v>April</v>
      </c>
      <c r="D415" s="84" t="s">
        <v>325</v>
      </c>
      <c r="E415" s="90">
        <v>669</v>
      </c>
      <c r="F415" s="12">
        <f t="shared" si="143"/>
        <v>9031.5</v>
      </c>
      <c r="G415" s="12">
        <f t="shared" si="159"/>
        <v>1101.4024390243903</v>
      </c>
      <c r="H415" s="88" t="s">
        <v>31</v>
      </c>
      <c r="I415" s="89">
        <v>0</v>
      </c>
      <c r="J415" s="85">
        <v>57</v>
      </c>
      <c r="K415" s="85"/>
      <c r="L415" s="6">
        <f t="shared" si="160"/>
        <v>5920</v>
      </c>
      <c r="M415" s="85">
        <v>2544</v>
      </c>
      <c r="N415" s="85">
        <v>3376</v>
      </c>
      <c r="O415" s="85"/>
      <c r="P415" s="85">
        <v>3116</v>
      </c>
      <c r="Q415" s="85">
        <v>0</v>
      </c>
      <c r="R415" s="85">
        <v>0</v>
      </c>
      <c r="S415" s="85">
        <v>0</v>
      </c>
      <c r="T415" s="85">
        <v>0</v>
      </c>
      <c r="U415" s="85" t="s">
        <v>392</v>
      </c>
      <c r="V415" s="88" t="s">
        <v>133</v>
      </c>
      <c r="W415" s="85">
        <v>12</v>
      </c>
      <c r="X415" s="85">
        <v>8.1999999999999993</v>
      </c>
      <c r="Y415" s="15">
        <f t="shared" si="175"/>
        <v>4.7833333333333332</v>
      </c>
      <c r="Z415" s="16">
        <f t="shared" si="161"/>
        <v>0.68333333333333324</v>
      </c>
      <c r="AA415" s="12">
        <f t="shared" si="162"/>
        <v>0</v>
      </c>
      <c r="AB415" s="12">
        <f t="shared" si="163"/>
        <v>0</v>
      </c>
      <c r="AC415" s="13">
        <f t="shared" si="176"/>
        <v>0</v>
      </c>
      <c r="AD415" s="13">
        <f t="shared" si="164"/>
        <v>0</v>
      </c>
      <c r="AE415" s="13">
        <f t="shared" si="165"/>
        <v>721.95121951219517</v>
      </c>
      <c r="AF415" s="12">
        <f t="shared" si="155"/>
        <v>310.2439024390244</v>
      </c>
      <c r="AG415" s="12">
        <f t="shared" si="156"/>
        <v>411.70731707317077</v>
      </c>
      <c r="AH415" s="12">
        <f t="shared" si="157"/>
        <v>0</v>
      </c>
      <c r="AI415" s="12">
        <f t="shared" si="166"/>
        <v>0.28168078392293638</v>
      </c>
      <c r="AJ415" s="12">
        <f t="shared" si="167"/>
        <v>0.3738028013065382</v>
      </c>
      <c r="AK415" s="12">
        <f t="shared" si="168"/>
        <v>0</v>
      </c>
      <c r="AL415" s="12">
        <f t="shared" si="158"/>
        <v>0.65548358522947459</v>
      </c>
      <c r="AM415" s="13">
        <f t="shared" si="169"/>
        <v>0</v>
      </c>
      <c r="AN415" s="13">
        <f t="shared" si="170"/>
        <v>380.00000000000006</v>
      </c>
      <c r="AO415" s="13">
        <f t="shared" si="171"/>
        <v>0</v>
      </c>
      <c r="AP415" s="13">
        <f t="shared" si="172"/>
        <v>0</v>
      </c>
      <c r="AQ415" s="12">
        <f t="shared" si="173"/>
        <v>9036</v>
      </c>
      <c r="AR415" s="13">
        <f t="shared" si="174"/>
        <v>1101.9512195121952</v>
      </c>
      <c r="AS415" s="91" t="s">
        <v>393</v>
      </c>
      <c r="AT415" s="94"/>
      <c r="AU415" s="94"/>
    </row>
    <row r="416" spans="1:47" x14ac:dyDescent="0.25">
      <c r="A416" s="87">
        <v>46133</v>
      </c>
      <c r="B416" s="10" t="str">
        <f t="shared" si="153"/>
        <v>2026</v>
      </c>
      <c r="C416" s="10" t="str">
        <f t="shared" si="154"/>
        <v>April</v>
      </c>
      <c r="D416" s="84" t="s">
        <v>325</v>
      </c>
      <c r="E416" s="90">
        <v>120</v>
      </c>
      <c r="F416" s="12">
        <f t="shared" si="143"/>
        <v>1620</v>
      </c>
      <c r="G416" s="12">
        <f t="shared" si="159"/>
        <v>852.63157894736844</v>
      </c>
      <c r="H416" s="88" t="s">
        <v>31</v>
      </c>
      <c r="I416" s="89">
        <v>0</v>
      </c>
      <c r="J416" s="85">
        <v>57</v>
      </c>
      <c r="K416" s="85"/>
      <c r="L416" s="6">
        <f t="shared" si="160"/>
        <v>969</v>
      </c>
      <c r="M416" s="85">
        <v>362</v>
      </c>
      <c r="N416" s="85">
        <v>607</v>
      </c>
      <c r="O416" s="85"/>
      <c r="P416" s="85">
        <v>722</v>
      </c>
      <c r="Q416" s="85">
        <v>0</v>
      </c>
      <c r="R416" s="85">
        <v>0</v>
      </c>
      <c r="S416" s="85">
        <v>0</v>
      </c>
      <c r="T416" s="85">
        <v>0</v>
      </c>
      <c r="U416" s="85" t="s">
        <v>326</v>
      </c>
      <c r="V416" s="88" t="s">
        <v>133</v>
      </c>
      <c r="W416" s="85">
        <v>12</v>
      </c>
      <c r="X416" s="85">
        <v>1.9</v>
      </c>
      <c r="Y416" s="15">
        <f t="shared" si="175"/>
        <v>1.1083333333333334</v>
      </c>
      <c r="Z416" s="16">
        <f t="shared" si="161"/>
        <v>0.15833333333333333</v>
      </c>
      <c r="AA416" s="12">
        <f t="shared" si="162"/>
        <v>0</v>
      </c>
      <c r="AB416" s="12">
        <f t="shared" si="163"/>
        <v>0</v>
      </c>
      <c r="AC416" s="13">
        <f t="shared" si="176"/>
        <v>0</v>
      </c>
      <c r="AD416" s="13">
        <f t="shared" si="164"/>
        <v>0</v>
      </c>
      <c r="AE416" s="13">
        <f t="shared" si="165"/>
        <v>510</v>
      </c>
      <c r="AF416" s="12">
        <f t="shared" si="155"/>
        <v>190.5263157894737</v>
      </c>
      <c r="AG416" s="12">
        <f t="shared" si="156"/>
        <v>319.47368421052636</v>
      </c>
      <c r="AH416" s="12">
        <f t="shared" si="157"/>
        <v>0</v>
      </c>
      <c r="AI416" s="12">
        <f t="shared" si="166"/>
        <v>0.22345679012345679</v>
      </c>
      <c r="AJ416" s="12">
        <f t="shared" si="167"/>
        <v>0.37469135802469133</v>
      </c>
      <c r="AK416" s="12">
        <f t="shared" si="168"/>
        <v>0</v>
      </c>
      <c r="AL416" s="12">
        <f t="shared" si="158"/>
        <v>0.5981481481481481</v>
      </c>
      <c r="AM416" s="13">
        <f t="shared" si="169"/>
        <v>0</v>
      </c>
      <c r="AN416" s="13">
        <f t="shared" si="170"/>
        <v>380</v>
      </c>
      <c r="AO416" s="13">
        <f t="shared" si="171"/>
        <v>0</v>
      </c>
      <c r="AP416" s="13">
        <f t="shared" si="172"/>
        <v>0</v>
      </c>
      <c r="AQ416" s="12">
        <f t="shared" si="173"/>
        <v>1691</v>
      </c>
      <c r="AR416" s="13">
        <f t="shared" si="174"/>
        <v>890</v>
      </c>
      <c r="AS416" s="91" t="s">
        <v>394</v>
      </c>
      <c r="AT416" s="94"/>
      <c r="AU416" s="94"/>
    </row>
    <row r="417" spans="1:47" x14ac:dyDescent="0.25">
      <c r="A417" s="87">
        <v>46134</v>
      </c>
      <c r="B417" s="10" t="str">
        <f t="shared" si="153"/>
        <v>2026</v>
      </c>
      <c r="C417" s="10" t="str">
        <f t="shared" si="154"/>
        <v>April</v>
      </c>
      <c r="D417" s="84" t="s">
        <v>325</v>
      </c>
      <c r="E417" s="90">
        <v>721</v>
      </c>
      <c r="F417" s="12">
        <f t="shared" si="143"/>
        <v>9733.5</v>
      </c>
      <c r="G417" s="12">
        <f t="shared" si="159"/>
        <v>963.71287128712879</v>
      </c>
      <c r="H417" s="88" t="s">
        <v>31</v>
      </c>
      <c r="I417" s="89">
        <v>0</v>
      </c>
      <c r="J417" s="85">
        <v>57</v>
      </c>
      <c r="K417" s="85"/>
      <c r="L417" s="6">
        <f t="shared" si="160"/>
        <v>7264</v>
      </c>
      <c r="M417" s="85">
        <v>2911</v>
      </c>
      <c r="N417" s="85">
        <v>4353</v>
      </c>
      <c r="O417" s="85"/>
      <c r="P417" s="85">
        <v>3838</v>
      </c>
      <c r="Q417" s="85">
        <v>0</v>
      </c>
      <c r="R417" s="85">
        <v>0</v>
      </c>
      <c r="S417" s="85">
        <v>0</v>
      </c>
      <c r="T417" s="85">
        <v>0</v>
      </c>
      <c r="U417" s="85" t="s">
        <v>395</v>
      </c>
      <c r="V417" s="88" t="s">
        <v>133</v>
      </c>
      <c r="W417" s="85">
        <v>12</v>
      </c>
      <c r="X417" s="85">
        <v>10.1</v>
      </c>
      <c r="Y417" s="15">
        <f t="shared" si="175"/>
        <v>5.8916666666666666</v>
      </c>
      <c r="Z417" s="16">
        <f t="shared" si="161"/>
        <v>0.84166666666666667</v>
      </c>
      <c r="AA417" s="12">
        <f t="shared" si="162"/>
        <v>0</v>
      </c>
      <c r="AB417" s="12">
        <f t="shared" si="163"/>
        <v>0</v>
      </c>
      <c r="AC417" s="13">
        <f t="shared" si="176"/>
        <v>0</v>
      </c>
      <c r="AD417" s="13">
        <f t="shared" si="164"/>
        <v>0</v>
      </c>
      <c r="AE417" s="13">
        <f t="shared" si="165"/>
        <v>719.20792079207922</v>
      </c>
      <c r="AF417" s="12">
        <f t="shared" si="155"/>
        <v>288.21782178217825</v>
      </c>
      <c r="AG417" s="12">
        <f t="shared" si="156"/>
        <v>430.99009900990103</v>
      </c>
      <c r="AH417" s="12">
        <f t="shared" si="157"/>
        <v>0</v>
      </c>
      <c r="AI417" s="12">
        <f t="shared" si="166"/>
        <v>0.29907022140031847</v>
      </c>
      <c r="AJ417" s="12">
        <f t="shared" si="167"/>
        <v>0.44721836954846661</v>
      </c>
      <c r="AK417" s="12">
        <f t="shared" si="168"/>
        <v>0</v>
      </c>
      <c r="AL417" s="12">
        <f t="shared" si="158"/>
        <v>0.74628859094878508</v>
      </c>
      <c r="AM417" s="13">
        <f t="shared" si="169"/>
        <v>0</v>
      </c>
      <c r="AN417" s="13">
        <f t="shared" si="170"/>
        <v>380</v>
      </c>
      <c r="AO417" s="13">
        <f t="shared" si="171"/>
        <v>0</v>
      </c>
      <c r="AP417" s="13">
        <f t="shared" si="172"/>
        <v>0</v>
      </c>
      <c r="AQ417" s="12">
        <f t="shared" si="173"/>
        <v>11102</v>
      </c>
      <c r="AR417" s="13">
        <f t="shared" si="174"/>
        <v>1099.2079207920792</v>
      </c>
      <c r="AS417" s="91" t="s">
        <v>396</v>
      </c>
      <c r="AT417" s="94"/>
      <c r="AU417" s="94"/>
    </row>
    <row r="418" spans="1:47" x14ac:dyDescent="0.25">
      <c r="A418" s="87">
        <v>46135</v>
      </c>
      <c r="B418" s="10" t="str">
        <f t="shared" si="153"/>
        <v>2026</v>
      </c>
      <c r="C418" s="10" t="str">
        <f t="shared" si="154"/>
        <v>April</v>
      </c>
      <c r="D418" s="84" t="s">
        <v>325</v>
      </c>
      <c r="E418" s="90">
        <v>761</v>
      </c>
      <c r="F418" s="12">
        <f t="shared" si="143"/>
        <v>10273.5</v>
      </c>
      <c r="G418" s="12">
        <f t="shared" si="159"/>
        <v>1070.15625</v>
      </c>
      <c r="H418" s="88" t="s">
        <v>31</v>
      </c>
      <c r="I418" s="89">
        <v>0</v>
      </c>
      <c r="J418" s="85">
        <v>57</v>
      </c>
      <c r="K418" s="85"/>
      <c r="L418" s="6">
        <f t="shared" si="160"/>
        <v>6970</v>
      </c>
      <c r="M418" s="85">
        <v>3195</v>
      </c>
      <c r="N418" s="85">
        <v>3775</v>
      </c>
      <c r="O418" s="85"/>
      <c r="P418" s="85">
        <v>3648</v>
      </c>
      <c r="Q418" s="85">
        <v>0</v>
      </c>
      <c r="R418" s="85">
        <v>0</v>
      </c>
      <c r="S418" s="85">
        <v>0</v>
      </c>
      <c r="T418" s="85">
        <v>0</v>
      </c>
      <c r="U418" s="85" t="s">
        <v>395</v>
      </c>
      <c r="V418" s="88" t="s">
        <v>133</v>
      </c>
      <c r="W418" s="85">
        <v>12</v>
      </c>
      <c r="X418" s="85">
        <v>9.6</v>
      </c>
      <c r="Y418" s="15">
        <f t="shared" si="175"/>
        <v>5.6000000000000005</v>
      </c>
      <c r="Z418" s="16">
        <f t="shared" si="161"/>
        <v>0.79999999999999993</v>
      </c>
      <c r="AA418" s="12">
        <f t="shared" si="162"/>
        <v>0</v>
      </c>
      <c r="AB418" s="12">
        <f t="shared" si="163"/>
        <v>0</v>
      </c>
      <c r="AC418" s="13">
        <f t="shared" si="176"/>
        <v>0</v>
      </c>
      <c r="AD418" s="13">
        <f t="shared" si="164"/>
        <v>0</v>
      </c>
      <c r="AE418" s="13">
        <f t="shared" si="165"/>
        <v>726.04166666666674</v>
      </c>
      <c r="AF418" s="12">
        <f t="shared" si="155"/>
        <v>332.8125</v>
      </c>
      <c r="AG418" s="12">
        <f t="shared" si="156"/>
        <v>393.22916666666669</v>
      </c>
      <c r="AH418" s="12">
        <f t="shared" si="157"/>
        <v>0</v>
      </c>
      <c r="AI418" s="12">
        <f t="shared" si="166"/>
        <v>0.31099430573806397</v>
      </c>
      <c r="AJ418" s="12">
        <f t="shared" si="167"/>
        <v>0.36745023604419136</v>
      </c>
      <c r="AK418" s="12">
        <f t="shared" si="168"/>
        <v>0</v>
      </c>
      <c r="AL418" s="12">
        <f t="shared" si="158"/>
        <v>0.67844454178225533</v>
      </c>
      <c r="AM418" s="13">
        <f t="shared" si="169"/>
        <v>0</v>
      </c>
      <c r="AN418" s="13">
        <f t="shared" si="170"/>
        <v>380</v>
      </c>
      <c r="AO418" s="13">
        <f t="shared" si="171"/>
        <v>0</v>
      </c>
      <c r="AP418" s="13">
        <f t="shared" si="172"/>
        <v>0</v>
      </c>
      <c r="AQ418" s="12">
        <f t="shared" si="173"/>
        <v>10618</v>
      </c>
      <c r="AR418" s="13">
        <f t="shared" si="174"/>
        <v>1106.0416666666667</v>
      </c>
      <c r="AS418" s="91" t="s">
        <v>397</v>
      </c>
      <c r="AT418" s="94"/>
      <c r="AU418" s="94"/>
    </row>
    <row r="419" spans="1:47" x14ac:dyDescent="0.25">
      <c r="A419" s="87">
        <v>46136</v>
      </c>
      <c r="B419" s="10" t="str">
        <f t="shared" si="153"/>
        <v>2026</v>
      </c>
      <c r="C419" s="10" t="str">
        <f t="shared" si="154"/>
        <v>April</v>
      </c>
      <c r="D419" s="84" t="s">
        <v>325</v>
      </c>
      <c r="E419" s="90">
        <v>829</v>
      </c>
      <c r="F419" s="12">
        <f t="shared" ref="F419" si="177">E419*13.5</f>
        <v>11191.5</v>
      </c>
      <c r="G419" s="12">
        <f t="shared" si="159"/>
        <v>1086.5533980582522</v>
      </c>
      <c r="H419" s="88" t="s">
        <v>31</v>
      </c>
      <c r="I419" s="89">
        <v>0</v>
      </c>
      <c r="J419" s="85">
        <v>57</v>
      </c>
      <c r="K419" s="85"/>
      <c r="L419" s="6">
        <f t="shared" si="160"/>
        <v>7737</v>
      </c>
      <c r="M419" s="85">
        <v>3853</v>
      </c>
      <c r="N419" s="85">
        <v>3884</v>
      </c>
      <c r="O419" s="85"/>
      <c r="P419" s="85">
        <v>3914</v>
      </c>
      <c r="Q419" s="85">
        <v>0</v>
      </c>
      <c r="R419" s="85">
        <v>0</v>
      </c>
      <c r="S419" s="85">
        <v>0</v>
      </c>
      <c r="T419" s="85">
        <v>0</v>
      </c>
      <c r="U419" s="85" t="s">
        <v>326</v>
      </c>
      <c r="V419" s="88" t="s">
        <v>133</v>
      </c>
      <c r="W419" s="85">
        <v>12</v>
      </c>
      <c r="X419" s="85">
        <v>10.3</v>
      </c>
      <c r="Y419" s="15">
        <f t="shared" si="175"/>
        <v>6.0083333333333337</v>
      </c>
      <c r="Z419" s="16">
        <f t="shared" si="161"/>
        <v>0.85833333333333339</v>
      </c>
      <c r="AA419" s="12">
        <f>IF(X419="","",IF(X419=0,"",K419/X419))</f>
        <v>0</v>
      </c>
      <c r="AB419" s="12">
        <f t="shared" si="163"/>
        <v>0</v>
      </c>
      <c r="AC419" s="13">
        <f t="shared" si="176"/>
        <v>0</v>
      </c>
      <c r="AD419" s="13">
        <f t="shared" si="164"/>
        <v>0</v>
      </c>
      <c r="AE419" s="13">
        <f t="shared" si="165"/>
        <v>751.1650485436893</v>
      </c>
      <c r="AF419" s="12">
        <f>IF(X419="","",IF(X419=0,"",M419/X419))</f>
        <v>374.07766990291259</v>
      </c>
      <c r="AG419" s="12">
        <f>IF(X419="","",IF(X419=0,"",N419/X419))</f>
        <v>377.08737864077665</v>
      </c>
      <c r="AH419" s="12">
        <f>IF(X419="","",IF(X419=0,"",O419/X419))</f>
        <v>0</v>
      </c>
      <c r="AI419" s="12">
        <f t="shared" si="166"/>
        <v>0.34427914041906804</v>
      </c>
      <c r="AJ419" s="12">
        <f t="shared" si="167"/>
        <v>0.34704909976321313</v>
      </c>
      <c r="AK419" s="12">
        <f t="shared" si="168"/>
        <v>0</v>
      </c>
      <c r="AL419" s="12">
        <f t="shared" si="158"/>
        <v>0.69132824018228112</v>
      </c>
      <c r="AM419" s="13">
        <f t="shared" si="169"/>
        <v>0</v>
      </c>
      <c r="AN419" s="13">
        <f t="shared" si="170"/>
        <v>380</v>
      </c>
      <c r="AO419" s="13">
        <f t="shared" si="171"/>
        <v>0</v>
      </c>
      <c r="AP419" s="13">
        <f t="shared" si="172"/>
        <v>0</v>
      </c>
      <c r="AQ419" s="12">
        <f t="shared" si="173"/>
        <v>11651</v>
      </c>
      <c r="AR419" s="13">
        <f t="shared" si="174"/>
        <v>1131.1650485436894</v>
      </c>
      <c r="AS419" s="91" t="s">
        <v>398</v>
      </c>
      <c r="AT419" s="94"/>
      <c r="AU419" s="94"/>
    </row>
  </sheetData>
  <sortState xmlns:xlrd2="http://schemas.microsoft.com/office/spreadsheetml/2017/richdata2" ref="A2:AS346">
    <sortCondition ref="A1:A346"/>
  </sortState>
  <conditionalFormatting sqref="X123:X163">
    <cfRule type="cellIs" dxfId="5" priority="1" operator="equal">
      <formula>40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5ECF-5E87-47C9-A829-E7EAA1442189}">
  <sheetPr>
    <pageSetUpPr fitToPage="1"/>
  </sheetPr>
  <dimension ref="C2:M81"/>
  <sheetViews>
    <sheetView zoomScale="90" zoomScaleNormal="90" workbookViewId="0">
      <selection activeCell="H35" sqref="H35"/>
    </sheetView>
  </sheetViews>
  <sheetFormatPr defaultRowHeight="15" x14ac:dyDescent="0.25"/>
  <cols>
    <col min="3" max="3" width="31.5703125" bestFit="1" customWidth="1"/>
    <col min="4" max="4" width="16.28515625" bestFit="1" customWidth="1"/>
    <col min="5" max="5" width="17.28515625" bestFit="1" customWidth="1"/>
    <col min="6" max="6" width="12" customWidth="1"/>
    <col min="7" max="7" width="25.28515625" bestFit="1" customWidth="1"/>
    <col min="8" max="8" width="13.28515625" bestFit="1" customWidth="1"/>
    <col min="9" max="9" width="7.5703125" bestFit="1" customWidth="1"/>
    <col min="10" max="10" width="24.5703125" bestFit="1" customWidth="1"/>
    <col min="11" max="11" width="11.140625" bestFit="1" customWidth="1"/>
    <col min="12" max="13" width="10.42578125" bestFit="1" customWidth="1"/>
  </cols>
  <sheetData>
    <row r="2" spans="3:13" x14ac:dyDescent="0.25">
      <c r="C2" s="124" t="s">
        <v>302</v>
      </c>
      <c r="D2" s="125"/>
      <c r="E2" s="126"/>
      <c r="G2" s="128"/>
      <c r="H2" s="128"/>
      <c r="I2" s="129"/>
      <c r="J2" s="130"/>
      <c r="K2" s="130"/>
      <c r="L2" s="130"/>
      <c r="M2" s="130"/>
    </row>
    <row r="3" spans="3:13" x14ac:dyDescent="0.25">
      <c r="C3" s="25"/>
      <c r="D3" s="26" t="s">
        <v>273</v>
      </c>
      <c r="E3" s="26" t="s">
        <v>274</v>
      </c>
      <c r="G3" s="129"/>
      <c r="H3" s="129"/>
      <c r="I3" s="129"/>
      <c r="J3" s="129"/>
      <c r="K3" s="131"/>
      <c r="L3" s="131"/>
      <c r="M3" s="131"/>
    </row>
    <row r="4" spans="3:13" x14ac:dyDescent="0.25">
      <c r="C4" s="27" t="s">
        <v>275</v>
      </c>
      <c r="D4" s="159">
        <v>51</v>
      </c>
      <c r="E4" s="28">
        <v>51</v>
      </c>
      <c r="G4" s="129"/>
      <c r="H4" s="129"/>
      <c r="I4" s="129"/>
      <c r="J4" s="129"/>
      <c r="K4" s="129"/>
      <c r="L4" s="129"/>
      <c r="M4" s="129"/>
    </row>
    <row r="5" spans="3:13" x14ac:dyDescent="0.25">
      <c r="C5" s="25" t="s">
        <v>276</v>
      </c>
      <c r="D5" s="160">
        <v>5</v>
      </c>
      <c r="E5" s="26">
        <v>3</v>
      </c>
      <c r="G5" s="129"/>
      <c r="H5" s="129"/>
      <c r="I5" s="129"/>
      <c r="J5" s="129"/>
      <c r="K5" s="129"/>
      <c r="L5" s="129"/>
      <c r="M5" s="129"/>
    </row>
    <row r="6" spans="3:13" x14ac:dyDescent="0.25">
      <c r="C6" s="27" t="s">
        <v>277</v>
      </c>
      <c r="D6" s="159">
        <v>12</v>
      </c>
      <c r="E6" s="28">
        <v>12</v>
      </c>
      <c r="G6" s="129"/>
      <c r="H6" s="129"/>
      <c r="I6" s="129"/>
      <c r="J6" s="129"/>
      <c r="K6" s="129"/>
      <c r="L6" s="129"/>
      <c r="M6" s="129"/>
    </row>
    <row r="7" spans="3:13" x14ac:dyDescent="0.25">
      <c r="C7" s="25" t="s">
        <v>278</v>
      </c>
      <c r="D7" s="160">
        <f>D6*D12</f>
        <v>6.84</v>
      </c>
      <c r="E7" s="26">
        <f>E6*E12</f>
        <v>9</v>
      </c>
      <c r="G7" s="129"/>
      <c r="H7" s="129"/>
      <c r="I7" s="129"/>
      <c r="J7" s="129"/>
      <c r="K7" s="129"/>
      <c r="L7" s="129"/>
      <c r="M7" s="129"/>
    </row>
    <row r="8" spans="3:13" x14ac:dyDescent="0.25">
      <c r="C8" s="27" t="s">
        <v>279</v>
      </c>
      <c r="D8" s="159">
        <f>D6*D5</f>
        <v>60</v>
      </c>
      <c r="E8" s="28">
        <f>E6*E5</f>
        <v>36</v>
      </c>
      <c r="G8" s="129"/>
      <c r="H8" s="129"/>
      <c r="I8" s="129"/>
      <c r="J8" s="129"/>
      <c r="K8" s="129"/>
      <c r="L8" s="129"/>
      <c r="M8" s="129"/>
    </row>
    <row r="9" spans="3:13" x14ac:dyDescent="0.25">
      <c r="C9" s="25" t="s">
        <v>281</v>
      </c>
      <c r="D9" s="160">
        <f>D8*D12</f>
        <v>34.199999999999996</v>
      </c>
      <c r="E9" s="26">
        <f>E8*E12</f>
        <v>27</v>
      </c>
      <c r="G9" s="129"/>
      <c r="H9" s="129"/>
      <c r="I9" s="129"/>
      <c r="J9" s="129"/>
      <c r="K9" s="129"/>
      <c r="L9" s="129"/>
      <c r="M9" s="129"/>
    </row>
    <row r="10" spans="3:13" x14ac:dyDescent="0.25">
      <c r="C10" s="27" t="s">
        <v>282</v>
      </c>
      <c r="D10" s="159">
        <f>D4*D8</f>
        <v>3060</v>
      </c>
      <c r="E10" s="28">
        <f>E4*E8</f>
        <v>1836</v>
      </c>
      <c r="G10" s="129"/>
      <c r="H10" s="129"/>
      <c r="I10" s="129"/>
      <c r="J10" s="129"/>
      <c r="K10" s="132"/>
      <c r="L10" s="132"/>
      <c r="M10" s="132"/>
    </row>
    <row r="11" spans="3:13" x14ac:dyDescent="0.25">
      <c r="C11" s="25" t="s">
        <v>280</v>
      </c>
      <c r="D11" s="160">
        <f>D10*D12</f>
        <v>1744.1999999999998</v>
      </c>
      <c r="E11" s="26">
        <f>E10*E12</f>
        <v>1377</v>
      </c>
      <c r="G11" s="129"/>
      <c r="H11" s="133"/>
      <c r="I11" s="129"/>
      <c r="J11" s="129"/>
      <c r="K11" s="129"/>
      <c r="L11" s="134"/>
      <c r="M11" s="129"/>
    </row>
    <row r="12" spans="3:13" x14ac:dyDescent="0.25">
      <c r="C12" s="27" t="s">
        <v>284</v>
      </c>
      <c r="D12" s="161">
        <v>0.56999999999999995</v>
      </c>
      <c r="E12" s="30">
        <v>0.75</v>
      </c>
      <c r="G12" s="129"/>
      <c r="H12" s="135"/>
      <c r="I12" s="129"/>
      <c r="J12" s="129"/>
      <c r="K12" s="39"/>
      <c r="L12" s="39"/>
      <c r="M12" s="39"/>
    </row>
    <row r="13" spans="3:13" x14ac:dyDescent="0.25">
      <c r="C13" s="25" t="s">
        <v>283</v>
      </c>
      <c r="D13" s="162">
        <v>1000</v>
      </c>
      <c r="E13" s="32">
        <v>3000</v>
      </c>
      <c r="G13" s="136"/>
      <c r="H13" s="134"/>
      <c r="I13" s="129"/>
      <c r="J13" s="129"/>
      <c r="K13" s="137"/>
      <c r="L13" s="137"/>
      <c r="M13" s="137"/>
    </row>
    <row r="14" spans="3:13" x14ac:dyDescent="0.25">
      <c r="C14" s="33" t="s">
        <v>303</v>
      </c>
      <c r="D14" s="163">
        <f>D13*D11</f>
        <v>1744199.9999999998</v>
      </c>
      <c r="E14" s="35">
        <f>E13*E11</f>
        <v>4131000</v>
      </c>
      <c r="G14" s="129"/>
      <c r="H14" s="138"/>
      <c r="I14" s="129"/>
      <c r="J14" s="129"/>
      <c r="K14" s="129"/>
      <c r="L14" s="129"/>
      <c r="M14" s="129"/>
    </row>
    <row r="15" spans="3:13" x14ac:dyDescent="0.25">
      <c r="C15" s="36"/>
      <c r="D15" s="164"/>
      <c r="E15" s="37">
        <f>SUM(D14:E14)</f>
        <v>5875200</v>
      </c>
      <c r="G15" s="134"/>
      <c r="H15" s="39"/>
      <c r="I15" s="129"/>
      <c r="J15" s="129"/>
      <c r="K15" s="129"/>
      <c r="L15" s="129"/>
      <c r="M15" s="129"/>
    </row>
    <row r="16" spans="3:13" x14ac:dyDescent="0.25">
      <c r="G16" s="129"/>
      <c r="H16" s="129"/>
      <c r="I16" s="129"/>
      <c r="J16" s="129"/>
      <c r="K16" s="129"/>
      <c r="L16" s="129"/>
      <c r="M16" s="129"/>
    </row>
    <row r="17" spans="3:13" x14ac:dyDescent="0.25">
      <c r="G17" s="129"/>
      <c r="H17" s="129"/>
      <c r="I17" s="129"/>
      <c r="J17" s="129"/>
      <c r="K17" s="129"/>
      <c r="L17" s="129"/>
      <c r="M17" s="129"/>
    </row>
    <row r="19" spans="3:13" x14ac:dyDescent="0.25">
      <c r="D19" s="38"/>
      <c r="E19" s="39"/>
      <c r="F19" s="39"/>
      <c r="G19" s="39"/>
      <c r="H19" s="39"/>
    </row>
    <row r="20" spans="3:13" x14ac:dyDescent="0.25">
      <c r="D20" s="40"/>
    </row>
    <row r="21" spans="3:13" x14ac:dyDescent="0.25">
      <c r="D21" s="165"/>
      <c r="E21" s="165"/>
      <c r="F21" s="165"/>
      <c r="G21" s="166"/>
      <c r="H21" s="165"/>
      <c r="I21" s="165"/>
      <c r="J21" s="165"/>
      <c r="K21" s="167"/>
      <c r="L21" s="165"/>
      <c r="M21" s="165"/>
    </row>
    <row r="22" spans="3:13" x14ac:dyDescent="0.25">
      <c r="C22" s="41" t="s">
        <v>500</v>
      </c>
      <c r="D22" s="41"/>
      <c r="E22" s="41"/>
      <c r="F22" s="41"/>
      <c r="G22" s="139"/>
      <c r="H22" s="139"/>
      <c r="I22" s="139"/>
      <c r="J22" s="41"/>
      <c r="K22" s="139"/>
      <c r="L22" s="41"/>
      <c r="M22" s="41"/>
    </row>
    <row r="23" spans="3:13" x14ac:dyDescent="0.25">
      <c r="C23" s="41"/>
      <c r="D23" s="42" t="s">
        <v>285</v>
      </c>
      <c r="E23" s="42" t="s">
        <v>286</v>
      </c>
      <c r="F23" s="42"/>
      <c r="G23" s="43" t="s">
        <v>287</v>
      </c>
      <c r="H23" s="43" t="s">
        <v>288</v>
      </c>
      <c r="I23" s="44" t="s">
        <v>289</v>
      </c>
      <c r="J23" s="44" t="s">
        <v>290</v>
      </c>
      <c r="K23" s="45" t="s">
        <v>5</v>
      </c>
      <c r="L23" s="45" t="s">
        <v>291</v>
      </c>
      <c r="M23" s="45"/>
    </row>
    <row r="24" spans="3:13" x14ac:dyDescent="0.25">
      <c r="C24" s="142" t="s">
        <v>501</v>
      </c>
      <c r="D24" s="46"/>
      <c r="E24" s="46"/>
      <c r="F24" s="46"/>
      <c r="G24" s="43">
        <v>348</v>
      </c>
      <c r="H24" s="43"/>
      <c r="I24" s="44"/>
      <c r="J24" s="44"/>
      <c r="K24" s="45"/>
      <c r="L24" s="45"/>
      <c r="M24" s="45"/>
    </row>
    <row r="25" spans="3:13" x14ac:dyDescent="0.25">
      <c r="C25" s="142" t="s">
        <v>502</v>
      </c>
      <c r="D25" s="47"/>
      <c r="E25" s="47"/>
      <c r="F25" s="47"/>
      <c r="G25" s="43">
        <v>349</v>
      </c>
      <c r="H25" s="43"/>
      <c r="I25" s="44"/>
      <c r="J25" s="44"/>
      <c r="K25" s="45"/>
      <c r="L25" s="45">
        <v>200</v>
      </c>
      <c r="M25" s="45"/>
    </row>
    <row r="26" spans="3:13" x14ac:dyDescent="0.25">
      <c r="C26" s="142"/>
      <c r="D26" s="47"/>
      <c r="E26" s="47"/>
      <c r="F26" s="47"/>
      <c r="G26" s="43"/>
      <c r="H26" s="43"/>
      <c r="I26" s="44"/>
      <c r="J26" s="44"/>
      <c r="K26" s="45"/>
      <c r="L26" s="45"/>
      <c r="M26" s="45"/>
    </row>
    <row r="27" spans="3:13" x14ac:dyDescent="0.25">
      <c r="C27" s="142"/>
      <c r="D27" s="42"/>
      <c r="E27" s="42"/>
      <c r="F27" s="42"/>
      <c r="G27" s="43"/>
      <c r="H27" s="43"/>
      <c r="I27" s="44"/>
      <c r="J27" s="44"/>
      <c r="K27" s="45"/>
      <c r="L27" s="45"/>
      <c r="M27" s="45"/>
    </row>
    <row r="28" spans="3:13" x14ac:dyDescent="0.25">
      <c r="C28" s="142"/>
      <c r="D28" s="42"/>
      <c r="E28" s="42"/>
      <c r="F28" s="42"/>
      <c r="G28" s="43"/>
      <c r="H28" s="43"/>
      <c r="I28" s="44"/>
      <c r="J28" s="44"/>
      <c r="K28" s="45"/>
      <c r="L28" s="45"/>
      <c r="M28" s="45"/>
    </row>
    <row r="29" spans="3:13" x14ac:dyDescent="0.25">
      <c r="C29" s="142"/>
      <c r="D29" s="42"/>
      <c r="E29" s="42"/>
      <c r="F29" s="42"/>
      <c r="G29" s="43"/>
      <c r="H29" s="43"/>
      <c r="I29" s="44"/>
      <c r="J29" s="44"/>
      <c r="K29" s="45"/>
      <c r="L29" s="45"/>
      <c r="M29" s="45"/>
    </row>
    <row r="30" spans="3:13" x14ac:dyDescent="0.25">
      <c r="C30" s="142"/>
      <c r="D30" s="42"/>
      <c r="E30" s="42"/>
      <c r="F30" s="42"/>
      <c r="G30" s="43"/>
      <c r="H30" s="43"/>
      <c r="I30" s="44"/>
      <c r="J30" s="44"/>
      <c r="K30" s="45"/>
      <c r="L30" s="45"/>
      <c r="M30" s="45"/>
    </row>
    <row r="31" spans="3:13" x14ac:dyDescent="0.25">
      <c r="C31" s="142" t="s">
        <v>292</v>
      </c>
      <c r="D31" s="48"/>
      <c r="E31" s="48"/>
      <c r="F31" s="48"/>
      <c r="G31" s="49"/>
      <c r="H31" s="49"/>
      <c r="I31" s="50"/>
      <c r="J31" s="50"/>
      <c r="K31" s="51"/>
      <c r="L31" s="51"/>
      <c r="M31" s="51"/>
    </row>
    <row r="32" spans="3:13" ht="15.75" thickBot="1" x14ac:dyDescent="0.3">
      <c r="C32" s="152" t="s">
        <v>293</v>
      </c>
      <c r="D32" s="52"/>
      <c r="E32" s="52"/>
      <c r="F32" s="52"/>
      <c r="G32" s="53"/>
      <c r="H32" s="53"/>
      <c r="I32" s="54"/>
      <c r="J32" s="54"/>
      <c r="K32" s="55"/>
      <c r="L32" s="55"/>
      <c r="M32" s="55"/>
    </row>
    <row r="33" spans="3:13" x14ac:dyDescent="0.25">
      <c r="C33" s="153" t="s">
        <v>294</v>
      </c>
      <c r="D33" s="154"/>
      <c r="E33" s="154"/>
      <c r="F33" s="154"/>
      <c r="G33" s="56"/>
      <c r="H33" s="56"/>
      <c r="I33" s="57"/>
      <c r="J33" s="57"/>
      <c r="K33" s="58"/>
      <c r="L33" s="58"/>
      <c r="M33" s="58"/>
    </row>
    <row r="34" spans="3:13" x14ac:dyDescent="0.25">
      <c r="C34" s="143" t="s">
        <v>295</v>
      </c>
      <c r="D34" s="144"/>
      <c r="E34" s="144"/>
      <c r="F34" s="144"/>
      <c r="G34" s="64"/>
      <c r="H34" s="64"/>
      <c r="I34" s="65"/>
      <c r="J34" s="65"/>
      <c r="K34" s="66"/>
      <c r="L34" s="66"/>
      <c r="M34" s="66"/>
    </row>
    <row r="35" spans="3:13" x14ac:dyDescent="0.25">
      <c r="C35" s="143" t="s">
        <v>296</v>
      </c>
      <c r="D35" s="144"/>
      <c r="E35" s="144"/>
      <c r="F35" s="144"/>
      <c r="G35" s="64"/>
      <c r="H35" s="64"/>
      <c r="I35" s="65"/>
      <c r="J35" s="65"/>
      <c r="K35" s="66"/>
      <c r="L35" s="66"/>
      <c r="M35" s="66"/>
    </row>
    <row r="36" spans="3:13" x14ac:dyDescent="0.25">
      <c r="C36" s="143" t="s">
        <v>297</v>
      </c>
      <c r="D36" s="145">
        <f>SUM(D24:D32)</f>
        <v>0</v>
      </c>
      <c r="E36" s="145">
        <f>SUM(E24:E32)</f>
        <v>0</v>
      </c>
      <c r="F36" s="145"/>
      <c r="G36" s="59">
        <f>SUM(G24:G32)</f>
        <v>697</v>
      </c>
      <c r="H36" s="59">
        <f>SUM(H24:H32)</f>
        <v>0</v>
      </c>
      <c r="I36" s="60">
        <f>SUM(I24:I32)</f>
        <v>0</v>
      </c>
      <c r="J36" s="60">
        <f>SUM(J24:J32)</f>
        <v>0</v>
      </c>
      <c r="K36" s="61">
        <f>SUM(K24:K32)</f>
        <v>0</v>
      </c>
      <c r="L36" s="61">
        <v>80</v>
      </c>
      <c r="M36" s="61"/>
    </row>
    <row r="37" spans="3:13" x14ac:dyDescent="0.25">
      <c r="C37" s="143" t="s">
        <v>298</v>
      </c>
      <c r="D37" s="146" t="e">
        <f>D33/D36</f>
        <v>#DIV/0!</v>
      </c>
      <c r="E37" s="146" t="e">
        <f>E33/E36</f>
        <v>#DIV/0!</v>
      </c>
      <c r="F37" s="146"/>
      <c r="G37" s="62">
        <f>G33/G36</f>
        <v>0</v>
      </c>
      <c r="H37" s="62" t="e">
        <f>H33/H36</f>
        <v>#DIV/0!</v>
      </c>
      <c r="I37" s="63" t="e">
        <f>I33/I36</f>
        <v>#DIV/0!</v>
      </c>
      <c r="J37" s="63" t="e">
        <f>J33/J36</f>
        <v>#DIV/0!</v>
      </c>
      <c r="K37" s="61"/>
      <c r="L37" s="61"/>
      <c r="M37" s="61"/>
    </row>
    <row r="38" spans="3:13" x14ac:dyDescent="0.25">
      <c r="C38" s="143" t="s">
        <v>299</v>
      </c>
      <c r="D38" s="144">
        <f>D36*$L$53</f>
        <v>0</v>
      </c>
      <c r="E38" s="144">
        <f>E36*$M$53</f>
        <v>0</v>
      </c>
      <c r="F38" s="144"/>
      <c r="G38" s="64">
        <f>G36*D11</f>
        <v>1215707.3999999999</v>
      </c>
      <c r="H38" s="64" t="e">
        <f>H36*#REF!</f>
        <v>#REF!</v>
      </c>
      <c r="I38" s="65" t="e">
        <f>I36*#REF!</f>
        <v>#REF!</v>
      </c>
      <c r="J38" s="65" t="e">
        <f>J36*#REF!</f>
        <v>#REF!</v>
      </c>
      <c r="K38" s="66" t="e">
        <f>K36*#REF!</f>
        <v>#REF!</v>
      </c>
      <c r="L38" s="66" t="e">
        <f>L36*#REF!</f>
        <v>#REF!</v>
      </c>
      <c r="M38" s="66"/>
    </row>
    <row r="39" spans="3:13" x14ac:dyDescent="0.25">
      <c r="C39" s="147"/>
      <c r="D39" s="148"/>
      <c r="E39" s="148"/>
      <c r="F39" s="148"/>
      <c r="G39" s="149"/>
      <c r="H39" s="150"/>
      <c r="I39" s="151"/>
      <c r="J39" s="65"/>
      <c r="K39" s="67"/>
      <c r="L39" s="66"/>
      <c r="M39" s="66"/>
    </row>
    <row r="44" spans="3:13" x14ac:dyDescent="0.25">
      <c r="C44" s="127"/>
      <c r="D44" s="127"/>
      <c r="E44" s="127"/>
      <c r="G44" s="124" t="s">
        <v>498</v>
      </c>
      <c r="H44" s="126"/>
      <c r="J44" s="124" t="s">
        <v>499</v>
      </c>
      <c r="K44" s="125"/>
      <c r="L44" s="125"/>
      <c r="M44" s="126"/>
    </row>
    <row r="45" spans="3:13" x14ac:dyDescent="0.25">
      <c r="G45" s="155"/>
      <c r="H45" s="26"/>
      <c r="J45" s="25"/>
      <c r="K45" s="68"/>
      <c r="L45" s="68"/>
      <c r="M45" s="74"/>
    </row>
    <row r="46" spans="3:13" x14ac:dyDescent="0.25">
      <c r="G46" s="156" t="s">
        <v>275</v>
      </c>
      <c r="H46" s="28">
        <v>51</v>
      </c>
      <c r="J46" s="156" t="s">
        <v>275</v>
      </c>
      <c r="K46" s="69">
        <v>51</v>
      </c>
      <c r="L46" s="69"/>
      <c r="M46" s="28"/>
    </row>
    <row r="47" spans="3:13" x14ac:dyDescent="0.25">
      <c r="G47" s="155" t="s">
        <v>276</v>
      </c>
      <c r="H47" s="26">
        <v>4</v>
      </c>
      <c r="J47" s="155" t="s">
        <v>276</v>
      </c>
      <c r="K47">
        <v>5</v>
      </c>
      <c r="M47" s="26"/>
    </row>
    <row r="48" spans="3:13" x14ac:dyDescent="0.25">
      <c r="G48" s="156" t="s">
        <v>277</v>
      </c>
      <c r="H48" s="28">
        <v>12</v>
      </c>
      <c r="J48" s="156" t="s">
        <v>277</v>
      </c>
      <c r="K48" s="69">
        <v>10</v>
      </c>
      <c r="L48" s="69"/>
      <c r="M48" s="28"/>
    </row>
    <row r="49" spans="3:13" x14ac:dyDescent="0.25">
      <c r="G49" s="155" t="s">
        <v>279</v>
      </c>
      <c r="H49" s="26">
        <f>H47*H48</f>
        <v>48</v>
      </c>
      <c r="J49" s="155" t="s">
        <v>279</v>
      </c>
      <c r="K49">
        <f>K47*K48</f>
        <v>50</v>
      </c>
      <c r="M49" s="26"/>
    </row>
    <row r="50" spans="3:13" x14ac:dyDescent="0.25">
      <c r="G50" s="156" t="s">
        <v>280</v>
      </c>
      <c r="H50" s="28">
        <f>H46*H49</f>
        <v>2448</v>
      </c>
      <c r="J50" s="156" t="s">
        <v>280</v>
      </c>
      <c r="K50" s="69">
        <f>K46*K49</f>
        <v>2550</v>
      </c>
      <c r="L50" s="69"/>
      <c r="M50" s="28"/>
    </row>
    <row r="51" spans="3:13" x14ac:dyDescent="0.25">
      <c r="G51" s="155" t="s">
        <v>304</v>
      </c>
      <c r="H51" s="26">
        <v>0.7</v>
      </c>
      <c r="J51" s="155" t="s">
        <v>304</v>
      </c>
      <c r="K51">
        <v>0.7</v>
      </c>
      <c r="M51" s="26"/>
    </row>
    <row r="52" spans="3:13" x14ac:dyDescent="0.25">
      <c r="G52" s="155" t="s">
        <v>305</v>
      </c>
      <c r="H52" s="72">
        <f>H50*H51</f>
        <v>1713.6</v>
      </c>
      <c r="J52" s="155" t="s">
        <v>305</v>
      </c>
      <c r="K52" s="70">
        <f>K50*K51</f>
        <v>1785</v>
      </c>
      <c r="L52" s="70"/>
      <c r="M52" s="72"/>
    </row>
    <row r="53" spans="3:13" x14ac:dyDescent="0.25">
      <c r="G53" s="156" t="s">
        <v>313</v>
      </c>
      <c r="H53" s="73">
        <v>2800</v>
      </c>
      <c r="J53" s="156" t="s">
        <v>283</v>
      </c>
      <c r="K53" s="69">
        <v>1050</v>
      </c>
      <c r="L53" s="29"/>
      <c r="M53" s="28"/>
    </row>
    <row r="54" spans="3:13" x14ac:dyDescent="0.25">
      <c r="D54" s="76"/>
      <c r="E54" s="76"/>
      <c r="G54" s="155" t="s">
        <v>306</v>
      </c>
      <c r="H54" s="26">
        <v>0.4</v>
      </c>
      <c r="J54" s="155"/>
      <c r="K54" s="31"/>
      <c r="L54" s="31"/>
      <c r="M54" s="75"/>
    </row>
    <row r="55" spans="3:13" x14ac:dyDescent="0.25">
      <c r="D55" s="77"/>
      <c r="E55" s="77"/>
      <c r="G55" s="156" t="s">
        <v>307</v>
      </c>
      <c r="H55" s="28">
        <v>1091</v>
      </c>
      <c r="J55" s="158" t="s">
        <v>308</v>
      </c>
      <c r="K55" s="81">
        <f>K53*K52</f>
        <v>1874250</v>
      </c>
      <c r="L55" s="82"/>
      <c r="M55" s="83"/>
    </row>
    <row r="56" spans="3:13" x14ac:dyDescent="0.25">
      <c r="C56" s="78"/>
      <c r="D56" s="39"/>
      <c r="E56" s="39"/>
      <c r="G56" s="155" t="s">
        <v>309</v>
      </c>
      <c r="H56" s="34">
        <f>H55*H52</f>
        <v>1869537.5999999999</v>
      </c>
    </row>
    <row r="57" spans="3:13" x14ac:dyDescent="0.25">
      <c r="E57" s="79"/>
      <c r="G57" s="157" t="s">
        <v>314</v>
      </c>
      <c r="H57" s="80">
        <f>H53*H52</f>
        <v>4798080</v>
      </c>
    </row>
    <row r="61" spans="3:13" x14ac:dyDescent="0.25">
      <c r="D61" s="38"/>
      <c r="E61" s="39"/>
      <c r="F61" s="39"/>
      <c r="G61" s="39"/>
      <c r="H61" s="39"/>
    </row>
    <row r="62" spans="3:13" x14ac:dyDescent="0.25">
      <c r="D62" s="40"/>
    </row>
    <row r="63" spans="3:13" x14ac:dyDescent="0.25">
      <c r="C63" s="165"/>
      <c r="D63" s="165"/>
      <c r="E63" s="165"/>
      <c r="F63" s="165"/>
      <c r="G63" s="166"/>
      <c r="H63" s="165"/>
      <c r="I63" s="165"/>
      <c r="J63" s="165"/>
      <c r="K63" s="167"/>
      <c r="L63" s="165"/>
      <c r="M63" s="165"/>
    </row>
    <row r="64" spans="3:13" x14ac:dyDescent="0.25">
      <c r="C64" s="41" t="s">
        <v>500</v>
      </c>
      <c r="D64" s="140"/>
      <c r="E64" s="140"/>
      <c r="F64" s="140"/>
      <c r="G64" s="141"/>
      <c r="H64" s="141"/>
      <c r="I64" s="139"/>
      <c r="J64" s="41"/>
      <c r="K64" s="139"/>
      <c r="L64" s="41"/>
      <c r="M64" s="41"/>
    </row>
    <row r="65" spans="3:13" x14ac:dyDescent="0.25">
      <c r="C65" s="41"/>
      <c r="D65" s="42" t="s">
        <v>285</v>
      </c>
      <c r="E65" s="42" t="s">
        <v>286</v>
      </c>
      <c r="F65" s="42" t="s">
        <v>287</v>
      </c>
      <c r="G65" s="43" t="s">
        <v>287</v>
      </c>
      <c r="H65" s="43" t="s">
        <v>288</v>
      </c>
      <c r="I65" s="44" t="s">
        <v>289</v>
      </c>
      <c r="J65" s="44" t="s">
        <v>290</v>
      </c>
      <c r="K65" s="45" t="s">
        <v>5</v>
      </c>
      <c r="L65" s="45" t="s">
        <v>291</v>
      </c>
      <c r="M65" s="45"/>
    </row>
    <row r="66" spans="3:13" x14ac:dyDescent="0.25">
      <c r="C66" s="142" t="s">
        <v>310</v>
      </c>
      <c r="D66" s="46"/>
      <c r="E66" s="46"/>
      <c r="F66" s="46">
        <v>1116</v>
      </c>
      <c r="G66" s="43"/>
      <c r="H66" s="43"/>
      <c r="I66" s="44"/>
      <c r="J66" s="44"/>
      <c r="K66" s="45">
        <v>251</v>
      </c>
      <c r="L66" s="45"/>
      <c r="M66" s="45"/>
    </row>
    <row r="67" spans="3:13" x14ac:dyDescent="0.25">
      <c r="C67" s="142" t="s">
        <v>315</v>
      </c>
      <c r="D67" s="47"/>
      <c r="E67" s="47"/>
      <c r="F67" s="47"/>
      <c r="G67" s="43"/>
      <c r="H67" s="43"/>
      <c r="I67" s="44"/>
      <c r="J67" s="44"/>
      <c r="K67" s="45"/>
      <c r="L67" s="45">
        <v>200</v>
      </c>
      <c r="M67" s="45"/>
    </row>
    <row r="68" spans="3:13" x14ac:dyDescent="0.25">
      <c r="C68" s="142" t="s">
        <v>311</v>
      </c>
      <c r="D68" s="47"/>
      <c r="E68" s="47"/>
      <c r="F68" s="47"/>
      <c r="G68" s="43">
        <v>208</v>
      </c>
      <c r="H68" s="43"/>
      <c r="I68" s="44"/>
      <c r="J68" s="44"/>
      <c r="K68" s="45">
        <v>381</v>
      </c>
      <c r="L68" s="45"/>
      <c r="M68" s="45"/>
    </row>
    <row r="69" spans="3:13" x14ac:dyDescent="0.25">
      <c r="C69" s="142" t="s">
        <v>312</v>
      </c>
      <c r="D69" s="42"/>
      <c r="E69" s="42"/>
      <c r="F69" s="42"/>
      <c r="G69" s="43">
        <v>201</v>
      </c>
      <c r="H69" s="43"/>
      <c r="I69" s="44"/>
      <c r="J69" s="44"/>
      <c r="K69" s="45"/>
      <c r="L69" s="45"/>
      <c r="M69" s="45"/>
    </row>
    <row r="70" spans="3:13" x14ac:dyDescent="0.25">
      <c r="C70" s="142"/>
      <c r="D70" s="42"/>
      <c r="E70" s="42"/>
      <c r="F70" s="42"/>
      <c r="G70" s="43">
        <v>202</v>
      </c>
      <c r="H70" s="43"/>
      <c r="I70" s="44"/>
      <c r="J70" s="44"/>
      <c r="K70" s="45"/>
      <c r="L70" s="45"/>
      <c r="M70" s="45"/>
    </row>
    <row r="71" spans="3:13" x14ac:dyDescent="0.25">
      <c r="C71" s="142"/>
      <c r="D71" s="42"/>
      <c r="E71" s="42"/>
      <c r="F71" s="42"/>
      <c r="G71" s="43"/>
      <c r="H71" s="43"/>
      <c r="I71" s="44"/>
      <c r="J71" s="44"/>
      <c r="K71" s="45"/>
      <c r="L71" s="45"/>
      <c r="M71" s="45"/>
    </row>
    <row r="72" spans="3:13" x14ac:dyDescent="0.25">
      <c r="C72" s="142"/>
      <c r="D72" s="42"/>
      <c r="E72" s="42"/>
      <c r="F72" s="42"/>
      <c r="G72" s="43"/>
      <c r="H72" s="43"/>
      <c r="I72" s="44"/>
      <c r="J72" s="44"/>
      <c r="K72" s="45"/>
      <c r="L72" s="45"/>
      <c r="M72" s="45"/>
    </row>
    <row r="73" spans="3:13" x14ac:dyDescent="0.25">
      <c r="C73" s="142" t="s">
        <v>292</v>
      </c>
      <c r="D73" s="48"/>
      <c r="E73" s="48"/>
      <c r="F73" s="48"/>
      <c r="G73" s="49"/>
      <c r="H73" s="49"/>
      <c r="I73" s="50"/>
      <c r="J73" s="50"/>
      <c r="K73" s="51"/>
      <c r="L73" s="51"/>
      <c r="M73" s="51"/>
    </row>
    <row r="74" spans="3:13" ht="15.75" thickBot="1" x14ac:dyDescent="0.3">
      <c r="C74" s="152" t="s">
        <v>293</v>
      </c>
      <c r="D74" s="52"/>
      <c r="E74" s="52"/>
      <c r="F74" s="52"/>
      <c r="G74" s="53"/>
      <c r="H74" s="53"/>
      <c r="I74" s="54"/>
      <c r="J74" s="54"/>
      <c r="K74" s="55"/>
      <c r="L74" s="55"/>
      <c r="M74" s="55"/>
    </row>
    <row r="75" spans="3:13" x14ac:dyDescent="0.25">
      <c r="C75" s="153" t="s">
        <v>294</v>
      </c>
      <c r="D75" s="154"/>
      <c r="E75" s="154"/>
      <c r="F75" s="154"/>
      <c r="G75" s="56"/>
      <c r="H75" s="56"/>
      <c r="I75" s="57"/>
      <c r="J75" s="57"/>
      <c r="K75" s="58"/>
      <c r="L75" s="58"/>
      <c r="M75" s="58"/>
    </row>
    <row r="76" spans="3:13" x14ac:dyDescent="0.25">
      <c r="C76" s="143" t="s">
        <v>295</v>
      </c>
      <c r="D76" s="144"/>
      <c r="E76" s="144"/>
      <c r="F76" s="144"/>
      <c r="G76" s="64"/>
      <c r="H76" s="64"/>
      <c r="I76" s="65"/>
      <c r="J76" s="65"/>
      <c r="K76" s="66"/>
      <c r="L76" s="66"/>
      <c r="M76" s="66"/>
    </row>
    <row r="77" spans="3:13" x14ac:dyDescent="0.25">
      <c r="C77" s="143" t="s">
        <v>296</v>
      </c>
      <c r="D77" s="144"/>
      <c r="E77" s="144"/>
      <c r="F77" s="144"/>
      <c r="G77" s="64"/>
      <c r="H77" s="64"/>
      <c r="I77" s="65"/>
      <c r="J77" s="65"/>
      <c r="K77" s="66"/>
      <c r="L77" s="66"/>
      <c r="M77" s="66"/>
    </row>
    <row r="78" spans="3:13" x14ac:dyDescent="0.25">
      <c r="C78" s="143" t="s">
        <v>297</v>
      </c>
      <c r="D78" s="145">
        <f t="shared" ref="D78:K78" si="0">SUM(D66:D74)</f>
        <v>0</v>
      </c>
      <c r="E78" s="145">
        <f t="shared" si="0"/>
        <v>0</v>
      </c>
      <c r="F78" s="145">
        <f t="shared" si="0"/>
        <v>1116</v>
      </c>
      <c r="G78" s="59">
        <f t="shared" si="0"/>
        <v>611</v>
      </c>
      <c r="H78" s="59">
        <f t="shared" si="0"/>
        <v>0</v>
      </c>
      <c r="I78" s="60">
        <f t="shared" si="0"/>
        <v>0</v>
      </c>
      <c r="J78" s="60">
        <f t="shared" si="0"/>
        <v>0</v>
      </c>
      <c r="K78" s="61">
        <f t="shared" si="0"/>
        <v>632</v>
      </c>
      <c r="L78" s="61">
        <v>80</v>
      </c>
      <c r="M78" s="61"/>
    </row>
    <row r="79" spans="3:13" x14ac:dyDescent="0.25">
      <c r="C79" s="143" t="s">
        <v>298</v>
      </c>
      <c r="D79" s="146" t="e">
        <f>D75/D78</f>
        <v>#DIV/0!</v>
      </c>
      <c r="E79" s="146" t="e">
        <f>E75/E78</f>
        <v>#DIV/0!</v>
      </c>
      <c r="F79" s="146"/>
      <c r="G79" s="62">
        <f>G75/G78</f>
        <v>0</v>
      </c>
      <c r="H79" s="62" t="e">
        <f>H75/H78</f>
        <v>#DIV/0!</v>
      </c>
      <c r="I79" s="63" t="e">
        <f>I75/I78</f>
        <v>#DIV/0!</v>
      </c>
      <c r="J79" s="63" t="e">
        <f>J75/J78</f>
        <v>#DIV/0!</v>
      </c>
      <c r="K79" s="61"/>
      <c r="L79" s="61"/>
      <c r="M79" s="61"/>
    </row>
    <row r="80" spans="3:13" x14ac:dyDescent="0.25">
      <c r="C80" s="143" t="s">
        <v>299</v>
      </c>
      <c r="D80" s="144">
        <f>D78*$L$53</f>
        <v>0</v>
      </c>
      <c r="E80" s="144">
        <f>E78*$M$53</f>
        <v>0</v>
      </c>
      <c r="F80" s="144">
        <f>F78*H52</f>
        <v>1912377.5999999999</v>
      </c>
      <c r="G80" s="64">
        <f>(G78*K52)</f>
        <v>1090635</v>
      </c>
      <c r="H80" s="64" t="e">
        <f>H78*#REF!</f>
        <v>#REF!</v>
      </c>
      <c r="I80" s="65" t="e">
        <f>I78*#REF!</f>
        <v>#REF!</v>
      </c>
      <c r="J80" s="65" t="e">
        <f>J78*#REF!</f>
        <v>#REF!</v>
      </c>
      <c r="K80" s="66" t="e">
        <f>K78*#REF!</f>
        <v>#REF!</v>
      </c>
      <c r="L80" s="66">
        <f>L78*N37</f>
        <v>0</v>
      </c>
      <c r="M80" s="66"/>
    </row>
    <row r="81" spans="3:13" x14ac:dyDescent="0.25">
      <c r="C81" s="147"/>
      <c r="D81" s="148"/>
      <c r="E81" s="148"/>
      <c r="F81" s="148"/>
      <c r="G81" s="149">
        <f>F80+G80</f>
        <v>3003012.5999999996</v>
      </c>
      <c r="H81" s="150"/>
      <c r="I81" s="151"/>
      <c r="J81" s="65"/>
      <c r="K81" s="67"/>
      <c r="L81" s="66"/>
      <c r="M81" s="66"/>
    </row>
  </sheetData>
  <mergeCells count="9">
    <mergeCell ref="C2:E2"/>
    <mergeCell ref="G2:H2"/>
    <mergeCell ref="J2:M2"/>
    <mergeCell ref="K13:M13"/>
    <mergeCell ref="D64:F64"/>
    <mergeCell ref="G64:H64"/>
    <mergeCell ref="C44:E44"/>
    <mergeCell ref="G44:H44"/>
    <mergeCell ref="J44:M44"/>
  </mergeCells>
  <conditionalFormatting sqref="D39">
    <cfRule type="cellIs" dxfId="4" priority="4" operator="lessThan">
      <formula>$I$76</formula>
    </cfRule>
  </conditionalFormatting>
  <conditionalFormatting sqref="D81">
    <cfRule type="cellIs" dxfId="3" priority="8" operator="lessThan">
      <formula>$I$76</formula>
    </cfRule>
  </conditionalFormatting>
  <conditionalFormatting sqref="J39">
    <cfRule type="cellIs" dxfId="2" priority="3" operator="lessThan">
      <formula>$O$35</formula>
    </cfRule>
  </conditionalFormatting>
  <conditionalFormatting sqref="J81">
    <cfRule type="cellIs" dxfId="1" priority="7" operator="lessThan">
      <formula>$O$35</formula>
    </cfRule>
  </conditionalFormatting>
  <conditionalFormatting sqref="L39:M39 L81:M81">
    <cfRule type="cellIs" dxfId="0" priority="9" operator="lessThan">
      <formula>#REF!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Piviot</vt:lpstr>
      <vt:lpstr>Washplant Raw Data</vt:lpstr>
      <vt:lpstr>Plant Raw Data</vt:lpstr>
      <vt:lpstr>Prod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VanHooser</dc:creator>
  <cp:lastModifiedBy>Matthew VanHooser</cp:lastModifiedBy>
  <cp:lastPrinted>2026-04-27T19:11:59Z</cp:lastPrinted>
  <dcterms:created xsi:type="dcterms:W3CDTF">2025-10-24T12:27:16Z</dcterms:created>
  <dcterms:modified xsi:type="dcterms:W3CDTF">2026-04-27T20:40:51Z</dcterms:modified>
</cp:coreProperties>
</file>